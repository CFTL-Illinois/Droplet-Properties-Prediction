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weichen/Downloads/840 autoevcoder/"/>
    </mc:Choice>
  </mc:AlternateContent>
  <xr:revisionPtr revIDLastSave="0" documentId="13_ncr:1_{EB47D0CB-E237-7746-ACE2-2FCE506EDA32}" xr6:coauthVersionLast="47" xr6:coauthVersionMax="47" xr10:uidLastSave="{00000000-0000-0000-0000-000000000000}"/>
  <bookViews>
    <workbookView xWindow="3680" yWindow="1060" windowWidth="20460" windowHeight="13880" activeTab="2" xr2:uid="{4C3DDBE1-F637-47ED-BC10-DA518AFD333D}"/>
  </bookViews>
  <sheets>
    <sheet name="Oh-Re space" sheetId="3" r:id="rId1"/>
    <sheet name="Oh-Re Log space" sheetId="6" r:id="rId2"/>
    <sheet name="data" sheetId="1" r:id="rId3"/>
    <sheet name="Properties" sheetId="4" r:id="rId4"/>
    <sheet name="Oh-Re full space" sheetId="5" r:id="rId5"/>
    <sheet name="silicone oil property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3" i="1"/>
  <c r="N842" i="1"/>
  <c r="O842" i="1"/>
  <c r="N841" i="1"/>
  <c r="O841" i="1"/>
  <c r="N840" i="1"/>
  <c r="O840" i="1"/>
  <c r="N839" i="1"/>
  <c r="O839" i="1"/>
  <c r="N838" i="1"/>
  <c r="O838" i="1"/>
  <c r="N837" i="1"/>
  <c r="O837" i="1"/>
  <c r="N836" i="1"/>
  <c r="O836" i="1"/>
  <c r="N835" i="1"/>
  <c r="O835" i="1"/>
  <c r="N834" i="1"/>
  <c r="O834" i="1"/>
  <c r="N833" i="1"/>
  <c r="O833" i="1"/>
  <c r="N832" i="1"/>
  <c r="O832" i="1"/>
  <c r="N831" i="1"/>
  <c r="O831" i="1"/>
  <c r="N830" i="1"/>
  <c r="O830" i="1"/>
  <c r="N829" i="1"/>
  <c r="O829" i="1"/>
  <c r="N828" i="1"/>
  <c r="O828" i="1"/>
  <c r="N827" i="1"/>
  <c r="O827" i="1"/>
  <c r="N826" i="1"/>
  <c r="O826" i="1"/>
  <c r="N825" i="1"/>
  <c r="O825" i="1"/>
  <c r="N824" i="1"/>
  <c r="O824" i="1"/>
  <c r="N823" i="1"/>
  <c r="O823" i="1"/>
  <c r="N822" i="1"/>
  <c r="O822" i="1"/>
  <c r="N821" i="1"/>
  <c r="O821" i="1"/>
  <c r="N820" i="1"/>
  <c r="O820" i="1"/>
  <c r="N819" i="1"/>
  <c r="O819" i="1"/>
  <c r="N818" i="1"/>
  <c r="O818" i="1"/>
  <c r="N817" i="1"/>
  <c r="O817" i="1"/>
  <c r="N816" i="1"/>
  <c r="O816" i="1"/>
  <c r="N815" i="1"/>
  <c r="O815" i="1"/>
  <c r="N814" i="1"/>
  <c r="O814" i="1"/>
  <c r="N813" i="1"/>
  <c r="O813" i="1"/>
  <c r="N812" i="1"/>
  <c r="O812" i="1"/>
  <c r="N811" i="1"/>
  <c r="O811" i="1"/>
  <c r="N810" i="1"/>
  <c r="O810" i="1"/>
  <c r="N809" i="1"/>
  <c r="O809" i="1"/>
  <c r="N808" i="1"/>
  <c r="O808" i="1"/>
  <c r="N807" i="1"/>
  <c r="O807" i="1"/>
  <c r="N806" i="1"/>
  <c r="O806" i="1"/>
  <c r="N805" i="1"/>
  <c r="O805" i="1"/>
  <c r="N804" i="1"/>
  <c r="O804" i="1"/>
  <c r="N803" i="1"/>
  <c r="O803" i="1"/>
  <c r="N802" i="1"/>
  <c r="O802" i="1"/>
  <c r="N801" i="1"/>
  <c r="O801" i="1"/>
  <c r="N800" i="1"/>
  <c r="O800" i="1"/>
  <c r="N799" i="1"/>
  <c r="O799" i="1"/>
  <c r="N798" i="1"/>
  <c r="O798" i="1"/>
  <c r="N797" i="1"/>
  <c r="O797" i="1"/>
  <c r="N796" i="1"/>
  <c r="O796" i="1"/>
  <c r="N795" i="1"/>
  <c r="O795" i="1"/>
  <c r="N794" i="1"/>
  <c r="O794" i="1"/>
  <c r="N793" i="1"/>
  <c r="O793" i="1"/>
  <c r="N792" i="1"/>
  <c r="O792" i="1"/>
  <c r="N791" i="1"/>
  <c r="O791" i="1"/>
  <c r="N790" i="1"/>
  <c r="O790" i="1"/>
  <c r="N789" i="1"/>
  <c r="O789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J817" i="1" s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790" i="1"/>
  <c r="I791" i="1"/>
  <c r="I792" i="1"/>
  <c r="I793" i="1"/>
  <c r="I794" i="1"/>
  <c r="I795" i="1"/>
  <c r="I796" i="1"/>
  <c r="I797" i="1"/>
  <c r="J797" i="1" s="1"/>
  <c r="I798" i="1"/>
  <c r="I799" i="1"/>
  <c r="I800" i="1"/>
  <c r="I80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790" i="1"/>
  <c r="H791" i="1"/>
  <c r="I789" i="1"/>
  <c r="H789" i="1"/>
  <c r="N788" i="1"/>
  <c r="O788" i="1"/>
  <c r="N787" i="1"/>
  <c r="O787" i="1"/>
  <c r="N786" i="1"/>
  <c r="O786" i="1"/>
  <c r="N785" i="1"/>
  <c r="O785" i="1"/>
  <c r="N784" i="1"/>
  <c r="O784" i="1"/>
  <c r="N783" i="1"/>
  <c r="O783" i="1"/>
  <c r="N782" i="1"/>
  <c r="O782" i="1"/>
  <c r="I788" i="1"/>
  <c r="H783" i="1"/>
  <c r="H784" i="1"/>
  <c r="H785" i="1"/>
  <c r="H786" i="1"/>
  <c r="H787" i="1"/>
  <c r="H788" i="1"/>
  <c r="I783" i="1"/>
  <c r="I784" i="1"/>
  <c r="I785" i="1"/>
  <c r="J785" i="1" s="1"/>
  <c r="I786" i="1"/>
  <c r="I787" i="1"/>
  <c r="I782" i="1"/>
  <c r="I781" i="1"/>
  <c r="H782" i="1"/>
  <c r="H781" i="1"/>
  <c r="O781" i="1"/>
  <c r="N781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28" i="1"/>
  <c r="H727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674" i="1"/>
  <c r="H675" i="1"/>
  <c r="H676" i="1"/>
  <c r="H677" i="1"/>
  <c r="H678" i="1"/>
  <c r="H673" i="1"/>
  <c r="I677" i="1"/>
  <c r="I678" i="1"/>
  <c r="J678" i="1" s="1"/>
  <c r="I679" i="1"/>
  <c r="I680" i="1"/>
  <c r="I681" i="1"/>
  <c r="I682" i="1"/>
  <c r="J682" i="1" s="1"/>
  <c r="I683" i="1"/>
  <c r="J683" i="1" s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J698" i="1" s="1"/>
  <c r="I699" i="1"/>
  <c r="J699" i="1" s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J714" i="1" s="1"/>
  <c r="I715" i="1"/>
  <c r="J715" i="1" s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J729" i="1" s="1"/>
  <c r="I730" i="1"/>
  <c r="J730" i="1" s="1"/>
  <c r="I731" i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I740" i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I754" i="1"/>
  <c r="J754" i="1" s="1"/>
  <c r="I755" i="1"/>
  <c r="I756" i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I764" i="1"/>
  <c r="J764" i="1" s="1"/>
  <c r="I765" i="1"/>
  <c r="J765" i="1" s="1"/>
  <c r="I766" i="1"/>
  <c r="I767" i="1"/>
  <c r="J767" i="1" s="1"/>
  <c r="I768" i="1"/>
  <c r="J768" i="1" s="1"/>
  <c r="I769" i="1"/>
  <c r="J769" i="1" s="1"/>
  <c r="I770" i="1"/>
  <c r="J770" i="1" s="1"/>
  <c r="I771" i="1"/>
  <c r="I772" i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I780" i="1"/>
  <c r="J780" i="1" s="1"/>
  <c r="I675" i="1"/>
  <c r="I676" i="1"/>
  <c r="J676" i="1" s="1"/>
  <c r="I674" i="1"/>
  <c r="J674" i="1" s="1"/>
  <c r="I673" i="1"/>
  <c r="N780" i="1"/>
  <c r="O780" i="1"/>
  <c r="N779" i="1"/>
  <c r="O779" i="1"/>
  <c r="N778" i="1"/>
  <c r="O778" i="1"/>
  <c r="N777" i="1"/>
  <c r="O777" i="1"/>
  <c r="N776" i="1"/>
  <c r="O776" i="1"/>
  <c r="N775" i="1"/>
  <c r="O775" i="1"/>
  <c r="N774" i="1"/>
  <c r="O774" i="1"/>
  <c r="N773" i="1"/>
  <c r="O773" i="1"/>
  <c r="N772" i="1"/>
  <c r="O772" i="1"/>
  <c r="N771" i="1"/>
  <c r="O771" i="1"/>
  <c r="N770" i="1"/>
  <c r="O770" i="1"/>
  <c r="N769" i="1"/>
  <c r="O769" i="1"/>
  <c r="N768" i="1"/>
  <c r="O768" i="1"/>
  <c r="N767" i="1"/>
  <c r="O767" i="1"/>
  <c r="N766" i="1"/>
  <c r="O766" i="1"/>
  <c r="N765" i="1"/>
  <c r="O765" i="1"/>
  <c r="N764" i="1"/>
  <c r="O764" i="1"/>
  <c r="N763" i="1"/>
  <c r="O763" i="1"/>
  <c r="N762" i="1"/>
  <c r="O762" i="1"/>
  <c r="N761" i="1"/>
  <c r="O761" i="1"/>
  <c r="N760" i="1"/>
  <c r="O760" i="1"/>
  <c r="N759" i="1"/>
  <c r="O759" i="1"/>
  <c r="N758" i="1"/>
  <c r="O758" i="1"/>
  <c r="N757" i="1"/>
  <c r="O757" i="1"/>
  <c r="N756" i="1"/>
  <c r="O756" i="1"/>
  <c r="N755" i="1"/>
  <c r="O755" i="1"/>
  <c r="N754" i="1"/>
  <c r="O754" i="1"/>
  <c r="N753" i="1"/>
  <c r="O753" i="1"/>
  <c r="N752" i="1"/>
  <c r="O752" i="1"/>
  <c r="N751" i="1"/>
  <c r="O751" i="1"/>
  <c r="N750" i="1"/>
  <c r="O750" i="1"/>
  <c r="N749" i="1"/>
  <c r="O749" i="1"/>
  <c r="N748" i="1"/>
  <c r="O748" i="1"/>
  <c r="N747" i="1"/>
  <c r="O747" i="1"/>
  <c r="N746" i="1"/>
  <c r="O746" i="1"/>
  <c r="N745" i="1"/>
  <c r="O745" i="1"/>
  <c r="N744" i="1"/>
  <c r="O744" i="1"/>
  <c r="N743" i="1"/>
  <c r="O743" i="1"/>
  <c r="N742" i="1"/>
  <c r="O742" i="1"/>
  <c r="N741" i="1"/>
  <c r="O741" i="1"/>
  <c r="N740" i="1"/>
  <c r="O740" i="1"/>
  <c r="N739" i="1"/>
  <c r="O739" i="1"/>
  <c r="N738" i="1"/>
  <c r="O738" i="1"/>
  <c r="N737" i="1"/>
  <c r="O737" i="1"/>
  <c r="N736" i="1"/>
  <c r="O736" i="1"/>
  <c r="N735" i="1"/>
  <c r="O735" i="1"/>
  <c r="N734" i="1"/>
  <c r="O734" i="1"/>
  <c r="N733" i="1"/>
  <c r="O733" i="1"/>
  <c r="N732" i="1"/>
  <c r="O732" i="1"/>
  <c r="N731" i="1"/>
  <c r="O731" i="1"/>
  <c r="N730" i="1"/>
  <c r="O730" i="1"/>
  <c r="N729" i="1"/>
  <c r="O729" i="1"/>
  <c r="N728" i="1"/>
  <c r="O728" i="1"/>
  <c r="N727" i="1"/>
  <c r="O727" i="1"/>
  <c r="N726" i="1"/>
  <c r="O726" i="1"/>
  <c r="N725" i="1"/>
  <c r="O725" i="1"/>
  <c r="N724" i="1"/>
  <c r="O724" i="1"/>
  <c r="N723" i="1"/>
  <c r="O723" i="1"/>
  <c r="N722" i="1"/>
  <c r="O722" i="1"/>
  <c r="N721" i="1"/>
  <c r="O721" i="1"/>
  <c r="N720" i="1"/>
  <c r="O720" i="1"/>
  <c r="N719" i="1"/>
  <c r="O719" i="1"/>
  <c r="N718" i="1"/>
  <c r="O718" i="1"/>
  <c r="N717" i="1"/>
  <c r="O717" i="1"/>
  <c r="N716" i="1"/>
  <c r="O716" i="1"/>
  <c r="N715" i="1"/>
  <c r="O715" i="1"/>
  <c r="N714" i="1"/>
  <c r="O714" i="1"/>
  <c r="N713" i="1"/>
  <c r="O713" i="1"/>
  <c r="N712" i="1"/>
  <c r="O712" i="1"/>
  <c r="N711" i="1"/>
  <c r="O711" i="1"/>
  <c r="N710" i="1"/>
  <c r="O710" i="1"/>
  <c r="N709" i="1"/>
  <c r="O709" i="1"/>
  <c r="N708" i="1"/>
  <c r="O708" i="1"/>
  <c r="N707" i="1"/>
  <c r="O707" i="1"/>
  <c r="N706" i="1"/>
  <c r="O706" i="1"/>
  <c r="N705" i="1"/>
  <c r="O705" i="1"/>
  <c r="N704" i="1"/>
  <c r="O704" i="1"/>
  <c r="N703" i="1"/>
  <c r="O703" i="1"/>
  <c r="N702" i="1"/>
  <c r="O702" i="1"/>
  <c r="N701" i="1"/>
  <c r="O701" i="1"/>
  <c r="N700" i="1"/>
  <c r="O700" i="1"/>
  <c r="N699" i="1"/>
  <c r="O699" i="1"/>
  <c r="N698" i="1"/>
  <c r="O698" i="1"/>
  <c r="N697" i="1"/>
  <c r="O697" i="1"/>
  <c r="N696" i="1"/>
  <c r="O696" i="1"/>
  <c r="N695" i="1"/>
  <c r="O695" i="1"/>
  <c r="N694" i="1"/>
  <c r="O694" i="1"/>
  <c r="N693" i="1"/>
  <c r="O693" i="1"/>
  <c r="N692" i="1"/>
  <c r="O692" i="1"/>
  <c r="N691" i="1"/>
  <c r="O691" i="1"/>
  <c r="N690" i="1"/>
  <c r="O690" i="1"/>
  <c r="N689" i="1"/>
  <c r="O689" i="1"/>
  <c r="N688" i="1"/>
  <c r="O688" i="1"/>
  <c r="N687" i="1"/>
  <c r="O687" i="1"/>
  <c r="N686" i="1"/>
  <c r="O686" i="1"/>
  <c r="N685" i="1"/>
  <c r="O685" i="1"/>
  <c r="N684" i="1"/>
  <c r="O684" i="1"/>
  <c r="N683" i="1"/>
  <c r="O683" i="1"/>
  <c r="N682" i="1"/>
  <c r="O682" i="1"/>
  <c r="N681" i="1"/>
  <c r="O681" i="1"/>
  <c r="N680" i="1"/>
  <c r="O680" i="1"/>
  <c r="N679" i="1"/>
  <c r="O679" i="1"/>
  <c r="N678" i="1"/>
  <c r="O678" i="1"/>
  <c r="N677" i="1"/>
  <c r="O677" i="1"/>
  <c r="N676" i="1"/>
  <c r="O676" i="1"/>
  <c r="N675" i="1"/>
  <c r="O675" i="1"/>
  <c r="N674" i="1"/>
  <c r="O674" i="1"/>
  <c r="N673" i="1"/>
  <c r="O673" i="1"/>
  <c r="N672" i="1"/>
  <c r="O672" i="1"/>
  <c r="N671" i="1"/>
  <c r="O671" i="1"/>
  <c r="N670" i="1"/>
  <c r="O670" i="1"/>
  <c r="N669" i="1"/>
  <c r="O669" i="1"/>
  <c r="N668" i="1"/>
  <c r="O668" i="1"/>
  <c r="N667" i="1"/>
  <c r="O667" i="1"/>
  <c r="N666" i="1"/>
  <c r="O666" i="1"/>
  <c r="N665" i="1"/>
  <c r="O665" i="1"/>
  <c r="N664" i="1"/>
  <c r="O664" i="1"/>
  <c r="N663" i="1"/>
  <c r="O663" i="1"/>
  <c r="N662" i="1"/>
  <c r="O662" i="1"/>
  <c r="N656" i="1"/>
  <c r="O656" i="1"/>
  <c r="N657" i="1"/>
  <c r="O657" i="1"/>
  <c r="N658" i="1"/>
  <c r="O658" i="1"/>
  <c r="N659" i="1"/>
  <c r="O659" i="1"/>
  <c r="N660" i="1"/>
  <c r="O660" i="1"/>
  <c r="N661" i="1"/>
  <c r="O661" i="1"/>
  <c r="N655" i="1"/>
  <c r="O655" i="1"/>
  <c r="N654" i="1"/>
  <c r="O654" i="1"/>
  <c r="N653" i="1"/>
  <c r="O653" i="1"/>
  <c r="N652" i="1"/>
  <c r="O652" i="1"/>
  <c r="N651" i="1"/>
  <c r="O651" i="1"/>
  <c r="N650" i="1"/>
  <c r="O650" i="1"/>
  <c r="N649" i="1"/>
  <c r="O649" i="1"/>
  <c r="N648" i="1"/>
  <c r="O648" i="1"/>
  <c r="N647" i="1"/>
  <c r="O647" i="1"/>
  <c r="N646" i="1"/>
  <c r="O646" i="1"/>
  <c r="N645" i="1"/>
  <c r="O645" i="1"/>
  <c r="N644" i="1"/>
  <c r="O644" i="1"/>
  <c r="N643" i="1"/>
  <c r="O643" i="1"/>
  <c r="N642" i="1"/>
  <c r="O642" i="1"/>
  <c r="N641" i="1"/>
  <c r="O641" i="1"/>
  <c r="N640" i="1"/>
  <c r="O640" i="1"/>
  <c r="N639" i="1"/>
  <c r="O639" i="1"/>
  <c r="N638" i="1"/>
  <c r="O638" i="1"/>
  <c r="N637" i="1"/>
  <c r="O637" i="1"/>
  <c r="N636" i="1"/>
  <c r="O636" i="1"/>
  <c r="N635" i="1"/>
  <c r="O635" i="1"/>
  <c r="N634" i="1"/>
  <c r="O634" i="1"/>
  <c r="N633" i="1"/>
  <c r="O633" i="1"/>
  <c r="N632" i="1"/>
  <c r="O632" i="1"/>
  <c r="N631" i="1"/>
  <c r="O631" i="1"/>
  <c r="N630" i="1"/>
  <c r="O630" i="1"/>
  <c r="N629" i="1"/>
  <c r="O629" i="1"/>
  <c r="N628" i="1"/>
  <c r="O628" i="1"/>
  <c r="N627" i="1"/>
  <c r="O627" i="1"/>
  <c r="N626" i="1"/>
  <c r="O626" i="1"/>
  <c r="N625" i="1"/>
  <c r="O625" i="1"/>
  <c r="N624" i="1"/>
  <c r="O624" i="1"/>
  <c r="N623" i="1"/>
  <c r="O623" i="1"/>
  <c r="N622" i="1"/>
  <c r="O622" i="1"/>
  <c r="N621" i="1"/>
  <c r="O621" i="1"/>
  <c r="N620" i="1"/>
  <c r="O620" i="1"/>
  <c r="N619" i="1"/>
  <c r="O619" i="1"/>
  <c r="N618" i="1"/>
  <c r="O618" i="1"/>
  <c r="N617" i="1"/>
  <c r="O617" i="1"/>
  <c r="N616" i="1"/>
  <c r="O616" i="1"/>
  <c r="N615" i="1"/>
  <c r="O615" i="1"/>
  <c r="N614" i="1"/>
  <c r="O614" i="1"/>
  <c r="N613" i="1"/>
  <c r="O613" i="1"/>
  <c r="N612" i="1"/>
  <c r="O612" i="1"/>
  <c r="N611" i="1"/>
  <c r="O611" i="1"/>
  <c r="N610" i="1"/>
  <c r="O610" i="1"/>
  <c r="N609" i="1"/>
  <c r="O609" i="1"/>
  <c r="N608" i="1"/>
  <c r="O608" i="1"/>
  <c r="N607" i="1"/>
  <c r="O607" i="1"/>
  <c r="N606" i="1"/>
  <c r="O606" i="1"/>
  <c r="N605" i="1"/>
  <c r="O605" i="1"/>
  <c r="N604" i="1"/>
  <c r="O604" i="1"/>
  <c r="N603" i="1"/>
  <c r="O603" i="1"/>
  <c r="N602" i="1"/>
  <c r="O602" i="1"/>
  <c r="N601" i="1"/>
  <c r="O601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56" i="1"/>
  <c r="H655" i="1"/>
  <c r="I603" i="1"/>
  <c r="I604" i="1"/>
  <c r="I605" i="1"/>
  <c r="I606" i="1"/>
  <c r="I607" i="1"/>
  <c r="I608" i="1"/>
  <c r="I609" i="1"/>
  <c r="I610" i="1"/>
  <c r="I611" i="1"/>
  <c r="I612" i="1"/>
  <c r="J612" i="1" s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J651" i="1" s="1"/>
  <c r="I652" i="1"/>
  <c r="I653" i="1"/>
  <c r="I654" i="1"/>
  <c r="I601" i="1"/>
  <c r="I602" i="1"/>
  <c r="H605" i="1"/>
  <c r="H606" i="1"/>
  <c r="J606" i="1" s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J622" i="1" s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J638" i="1" s="1"/>
  <c r="H639" i="1"/>
  <c r="J639" i="1" s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J654" i="1" s="1"/>
  <c r="H603" i="1"/>
  <c r="H604" i="1"/>
  <c r="H602" i="1"/>
  <c r="J602" i="1" s="1"/>
  <c r="H601" i="1"/>
  <c r="N600" i="1"/>
  <c r="O600" i="1"/>
  <c r="N599" i="1"/>
  <c r="O599" i="1"/>
  <c r="N598" i="1"/>
  <c r="O598" i="1"/>
  <c r="N597" i="1"/>
  <c r="O597" i="1"/>
  <c r="N596" i="1"/>
  <c r="O596" i="1"/>
  <c r="N595" i="1"/>
  <c r="O595" i="1"/>
  <c r="N594" i="1"/>
  <c r="O594" i="1"/>
  <c r="N593" i="1"/>
  <c r="O593" i="1"/>
  <c r="N592" i="1"/>
  <c r="O592" i="1"/>
  <c r="N591" i="1"/>
  <c r="O591" i="1"/>
  <c r="N590" i="1"/>
  <c r="O590" i="1"/>
  <c r="N589" i="1"/>
  <c r="O589" i="1"/>
  <c r="N588" i="1"/>
  <c r="O588" i="1"/>
  <c r="N587" i="1"/>
  <c r="O587" i="1"/>
  <c r="N586" i="1"/>
  <c r="O586" i="1"/>
  <c r="N585" i="1"/>
  <c r="O585" i="1"/>
  <c r="N584" i="1"/>
  <c r="O584" i="1"/>
  <c r="N583" i="1"/>
  <c r="O583" i="1"/>
  <c r="N582" i="1"/>
  <c r="O582" i="1"/>
  <c r="N581" i="1"/>
  <c r="O581" i="1"/>
  <c r="N580" i="1"/>
  <c r="O580" i="1"/>
  <c r="N579" i="1"/>
  <c r="O579" i="1"/>
  <c r="N578" i="1"/>
  <c r="O578" i="1"/>
  <c r="N577" i="1"/>
  <c r="O577" i="1"/>
  <c r="N576" i="1"/>
  <c r="O576" i="1"/>
  <c r="N575" i="1"/>
  <c r="O575" i="1"/>
  <c r="N574" i="1"/>
  <c r="O574" i="1"/>
  <c r="N573" i="1"/>
  <c r="O573" i="1"/>
  <c r="N572" i="1"/>
  <c r="O572" i="1"/>
  <c r="N571" i="1"/>
  <c r="O571" i="1"/>
  <c r="N570" i="1"/>
  <c r="O570" i="1"/>
  <c r="N569" i="1"/>
  <c r="O569" i="1"/>
  <c r="N568" i="1"/>
  <c r="O568" i="1"/>
  <c r="N567" i="1"/>
  <c r="O567" i="1"/>
  <c r="N566" i="1"/>
  <c r="O566" i="1"/>
  <c r="N565" i="1"/>
  <c r="O565" i="1"/>
  <c r="N564" i="1"/>
  <c r="O564" i="1"/>
  <c r="N563" i="1"/>
  <c r="O563" i="1"/>
  <c r="N562" i="1"/>
  <c r="O562" i="1"/>
  <c r="N561" i="1"/>
  <c r="O561" i="1"/>
  <c r="N560" i="1"/>
  <c r="O560" i="1"/>
  <c r="N559" i="1"/>
  <c r="O559" i="1"/>
  <c r="N558" i="1"/>
  <c r="O558" i="1"/>
  <c r="N557" i="1"/>
  <c r="O557" i="1"/>
  <c r="N556" i="1"/>
  <c r="O556" i="1"/>
  <c r="N555" i="1"/>
  <c r="O555" i="1"/>
  <c r="N554" i="1"/>
  <c r="O554" i="1"/>
  <c r="N553" i="1"/>
  <c r="O553" i="1"/>
  <c r="N552" i="1"/>
  <c r="O552" i="1"/>
  <c r="N551" i="1"/>
  <c r="O551" i="1"/>
  <c r="N550" i="1"/>
  <c r="O550" i="1"/>
  <c r="N549" i="1"/>
  <c r="O549" i="1"/>
  <c r="N548" i="1"/>
  <c r="O548" i="1"/>
  <c r="O547" i="1"/>
  <c r="N547" i="1"/>
  <c r="N546" i="1"/>
  <c r="O546" i="1"/>
  <c r="N545" i="1"/>
  <c r="O545" i="1"/>
  <c r="N544" i="1"/>
  <c r="O544" i="1"/>
  <c r="N543" i="1"/>
  <c r="O543" i="1"/>
  <c r="N542" i="1"/>
  <c r="O542" i="1"/>
  <c r="N541" i="1"/>
  <c r="O541" i="1"/>
  <c r="N540" i="1"/>
  <c r="O540" i="1"/>
  <c r="N539" i="1"/>
  <c r="O539" i="1"/>
  <c r="N538" i="1"/>
  <c r="O538" i="1"/>
  <c r="N537" i="1"/>
  <c r="O537" i="1"/>
  <c r="N536" i="1"/>
  <c r="O536" i="1"/>
  <c r="N535" i="1"/>
  <c r="O535" i="1"/>
  <c r="N534" i="1"/>
  <c r="O534" i="1"/>
  <c r="N533" i="1"/>
  <c r="O533" i="1"/>
  <c r="N532" i="1"/>
  <c r="O532" i="1"/>
  <c r="N531" i="1"/>
  <c r="O531" i="1"/>
  <c r="N530" i="1"/>
  <c r="O530" i="1"/>
  <c r="N529" i="1"/>
  <c r="O529" i="1"/>
  <c r="N528" i="1"/>
  <c r="O528" i="1"/>
  <c r="N527" i="1"/>
  <c r="O527" i="1"/>
  <c r="N526" i="1"/>
  <c r="O526" i="1"/>
  <c r="N525" i="1"/>
  <c r="O525" i="1"/>
  <c r="N524" i="1"/>
  <c r="O524" i="1"/>
  <c r="N523" i="1"/>
  <c r="O523" i="1"/>
  <c r="N522" i="1"/>
  <c r="O522" i="1"/>
  <c r="N521" i="1"/>
  <c r="O521" i="1"/>
  <c r="N520" i="1"/>
  <c r="O520" i="1"/>
  <c r="N519" i="1"/>
  <c r="O519" i="1"/>
  <c r="N518" i="1"/>
  <c r="O518" i="1"/>
  <c r="N517" i="1"/>
  <c r="O517" i="1"/>
  <c r="N516" i="1"/>
  <c r="O516" i="1"/>
  <c r="N515" i="1"/>
  <c r="O515" i="1"/>
  <c r="N514" i="1"/>
  <c r="O514" i="1"/>
  <c r="N513" i="1"/>
  <c r="O513" i="1"/>
  <c r="N512" i="1"/>
  <c r="O512" i="1"/>
  <c r="N511" i="1"/>
  <c r="O511" i="1"/>
  <c r="N510" i="1"/>
  <c r="O510" i="1"/>
  <c r="N509" i="1"/>
  <c r="O509" i="1"/>
  <c r="N508" i="1"/>
  <c r="O508" i="1"/>
  <c r="N507" i="1"/>
  <c r="O507" i="1"/>
  <c r="N506" i="1"/>
  <c r="O506" i="1"/>
  <c r="N505" i="1"/>
  <c r="O505" i="1"/>
  <c r="N504" i="1"/>
  <c r="O504" i="1"/>
  <c r="N503" i="1"/>
  <c r="O503" i="1"/>
  <c r="N502" i="1"/>
  <c r="O502" i="1"/>
  <c r="N501" i="1"/>
  <c r="O501" i="1"/>
  <c r="N500" i="1"/>
  <c r="O500" i="1"/>
  <c r="N499" i="1"/>
  <c r="O499" i="1"/>
  <c r="N498" i="1"/>
  <c r="O498" i="1"/>
  <c r="N497" i="1"/>
  <c r="O497" i="1"/>
  <c r="N496" i="1"/>
  <c r="O496" i="1"/>
  <c r="N495" i="1"/>
  <c r="O495" i="1"/>
  <c r="N494" i="1"/>
  <c r="O494" i="1"/>
  <c r="N493" i="1"/>
  <c r="O493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549" i="1"/>
  <c r="I548" i="1"/>
  <c r="I547" i="1"/>
  <c r="J723" i="1" l="1"/>
  <c r="J707" i="1"/>
  <c r="J691" i="1"/>
  <c r="J643" i="1"/>
  <c r="J831" i="1"/>
  <c r="J815" i="1"/>
  <c r="J783" i="1"/>
  <c r="J798" i="1"/>
  <c r="J781" i="1"/>
  <c r="J716" i="1"/>
  <c r="J700" i="1"/>
  <c r="J684" i="1"/>
  <c r="J724" i="1"/>
  <c r="J708" i="1"/>
  <c r="J692" i="1"/>
  <c r="J649" i="1"/>
  <c r="J658" i="1"/>
  <c r="J657" i="1"/>
  <c r="J647" i="1"/>
  <c r="J631" i="1"/>
  <c r="J615" i="1"/>
  <c r="J794" i="1"/>
  <c r="J617" i="1"/>
  <c r="J628" i="1"/>
  <c r="J669" i="1"/>
  <c r="J711" i="1"/>
  <c r="J695" i="1"/>
  <c r="J679" i="1"/>
  <c r="J633" i="1"/>
  <c r="J668" i="1"/>
  <c r="J766" i="1"/>
  <c r="J624" i="1"/>
  <c r="J644" i="1"/>
  <c r="J675" i="1"/>
  <c r="J784" i="1"/>
  <c r="J799" i="1"/>
  <c r="J670" i="1"/>
  <c r="J816" i="1"/>
  <c r="J727" i="1"/>
  <c r="J640" i="1"/>
  <c r="J608" i="1"/>
  <c r="J725" i="1"/>
  <c r="J709" i="1"/>
  <c r="J693" i="1"/>
  <c r="J642" i="1"/>
  <c r="J667" i="1"/>
  <c r="J623" i="1"/>
  <c r="J607" i="1"/>
  <c r="J665" i="1"/>
  <c r="J611" i="1"/>
  <c r="J782" i="1"/>
  <c r="J842" i="1"/>
  <c r="J662" i="1"/>
  <c r="J721" i="1"/>
  <c r="J705" i="1"/>
  <c r="J689" i="1"/>
  <c r="J753" i="1"/>
  <c r="J809" i="1"/>
  <c r="J793" i="1"/>
  <c r="J840" i="1"/>
  <c r="J824" i="1"/>
  <c r="J627" i="1"/>
  <c r="J720" i="1"/>
  <c r="J704" i="1"/>
  <c r="J688" i="1"/>
  <c r="J787" i="1"/>
  <c r="J650" i="1"/>
  <c r="J634" i="1"/>
  <c r="J618" i="1"/>
  <c r="J801" i="1"/>
  <c r="J838" i="1"/>
  <c r="J822" i="1"/>
  <c r="J806" i="1"/>
  <c r="J653" i="1"/>
  <c r="J637" i="1"/>
  <c r="J621" i="1"/>
  <c r="J605" i="1"/>
  <c r="J660" i="1"/>
  <c r="J772" i="1"/>
  <c r="J756" i="1"/>
  <c r="J740" i="1"/>
  <c r="J830" i="1"/>
  <c r="J814" i="1"/>
  <c r="J648" i="1"/>
  <c r="J632" i="1"/>
  <c r="J616" i="1"/>
  <c r="J652" i="1"/>
  <c r="J636" i="1"/>
  <c r="J620" i="1"/>
  <c r="J604" i="1"/>
  <c r="J659" i="1"/>
  <c r="J771" i="1"/>
  <c r="J755" i="1"/>
  <c r="J739" i="1"/>
  <c r="J792" i="1"/>
  <c r="J829" i="1"/>
  <c r="J813" i="1"/>
  <c r="J635" i="1"/>
  <c r="J619" i="1"/>
  <c r="J603" i="1"/>
  <c r="J788" i="1"/>
  <c r="J791" i="1"/>
  <c r="J828" i="1"/>
  <c r="J812" i="1"/>
  <c r="J713" i="1"/>
  <c r="J697" i="1"/>
  <c r="J681" i="1"/>
  <c r="J790" i="1"/>
  <c r="J827" i="1"/>
  <c r="J811" i="1"/>
  <c r="J672" i="1"/>
  <c r="J656" i="1"/>
  <c r="J712" i="1"/>
  <c r="J696" i="1"/>
  <c r="J680" i="1"/>
  <c r="J826" i="1"/>
  <c r="J810" i="1"/>
  <c r="J671" i="1"/>
  <c r="J655" i="1"/>
  <c r="J841" i="1"/>
  <c r="J825" i="1"/>
  <c r="J808" i="1"/>
  <c r="J601" i="1"/>
  <c r="J646" i="1"/>
  <c r="J630" i="1"/>
  <c r="J614" i="1"/>
  <c r="J839" i="1"/>
  <c r="J823" i="1"/>
  <c r="J807" i="1"/>
  <c r="J645" i="1"/>
  <c r="J629" i="1"/>
  <c r="J613" i="1"/>
  <c r="J779" i="1"/>
  <c r="J763" i="1"/>
  <c r="J747" i="1"/>
  <c r="J731" i="1"/>
  <c r="J800" i="1"/>
  <c r="J837" i="1"/>
  <c r="J821" i="1"/>
  <c r="J805" i="1"/>
  <c r="J666" i="1"/>
  <c r="J722" i="1"/>
  <c r="J706" i="1"/>
  <c r="J690" i="1"/>
  <c r="J728" i="1"/>
  <c r="J836" i="1"/>
  <c r="J820" i="1"/>
  <c r="J804" i="1"/>
  <c r="J626" i="1"/>
  <c r="J610" i="1"/>
  <c r="J835" i="1"/>
  <c r="J819" i="1"/>
  <c r="J803" i="1"/>
  <c r="J641" i="1"/>
  <c r="J625" i="1"/>
  <c r="J609" i="1"/>
  <c r="J664" i="1"/>
  <c r="J834" i="1"/>
  <c r="J818" i="1"/>
  <c r="J802" i="1"/>
  <c r="J663" i="1"/>
  <c r="J719" i="1"/>
  <c r="J703" i="1"/>
  <c r="J687" i="1"/>
  <c r="J796" i="1"/>
  <c r="J833" i="1"/>
  <c r="J726" i="1"/>
  <c r="J710" i="1"/>
  <c r="J694" i="1"/>
  <c r="J718" i="1"/>
  <c r="J702" i="1"/>
  <c r="J686" i="1"/>
  <c r="J795" i="1"/>
  <c r="J832" i="1"/>
  <c r="J661" i="1"/>
  <c r="J677" i="1"/>
  <c r="J717" i="1"/>
  <c r="J701" i="1"/>
  <c r="J685" i="1"/>
  <c r="J789" i="1"/>
  <c r="J673" i="1"/>
  <c r="J786" i="1"/>
  <c r="H551" i="1"/>
  <c r="J551" i="1" s="1"/>
  <c r="H552" i="1"/>
  <c r="J552" i="1" s="1"/>
  <c r="H553" i="1"/>
  <c r="J553" i="1" s="1"/>
  <c r="H554" i="1"/>
  <c r="J554" i="1" s="1"/>
  <c r="H555" i="1"/>
  <c r="J555" i="1" s="1"/>
  <c r="H556" i="1"/>
  <c r="J556" i="1" s="1"/>
  <c r="H557" i="1"/>
  <c r="J557" i="1" s="1"/>
  <c r="H558" i="1"/>
  <c r="J558" i="1" s="1"/>
  <c r="H559" i="1"/>
  <c r="J559" i="1" s="1"/>
  <c r="H560" i="1"/>
  <c r="J560" i="1" s="1"/>
  <c r="H561" i="1"/>
  <c r="J561" i="1" s="1"/>
  <c r="H562" i="1"/>
  <c r="J562" i="1" s="1"/>
  <c r="H563" i="1"/>
  <c r="J563" i="1" s="1"/>
  <c r="H564" i="1"/>
  <c r="J564" i="1" s="1"/>
  <c r="H565" i="1"/>
  <c r="J565" i="1" s="1"/>
  <c r="H566" i="1"/>
  <c r="J566" i="1" s="1"/>
  <c r="H567" i="1"/>
  <c r="J567" i="1" s="1"/>
  <c r="H568" i="1"/>
  <c r="J568" i="1" s="1"/>
  <c r="H569" i="1"/>
  <c r="J569" i="1" s="1"/>
  <c r="H570" i="1"/>
  <c r="J570" i="1" s="1"/>
  <c r="H571" i="1"/>
  <c r="J571" i="1" s="1"/>
  <c r="H572" i="1"/>
  <c r="J572" i="1" s="1"/>
  <c r="H573" i="1"/>
  <c r="J573" i="1" s="1"/>
  <c r="H574" i="1"/>
  <c r="J574" i="1" s="1"/>
  <c r="H575" i="1"/>
  <c r="J575" i="1" s="1"/>
  <c r="H576" i="1"/>
  <c r="J576" i="1" s="1"/>
  <c r="H577" i="1"/>
  <c r="J577" i="1" s="1"/>
  <c r="H578" i="1"/>
  <c r="J578" i="1" s="1"/>
  <c r="H579" i="1"/>
  <c r="J579" i="1" s="1"/>
  <c r="H580" i="1"/>
  <c r="J580" i="1" s="1"/>
  <c r="H581" i="1"/>
  <c r="J581" i="1" s="1"/>
  <c r="H582" i="1"/>
  <c r="J582" i="1" s="1"/>
  <c r="H583" i="1"/>
  <c r="J583" i="1" s="1"/>
  <c r="H584" i="1"/>
  <c r="J584" i="1" s="1"/>
  <c r="H585" i="1"/>
  <c r="J585" i="1" s="1"/>
  <c r="H586" i="1"/>
  <c r="J586" i="1" s="1"/>
  <c r="H587" i="1"/>
  <c r="J587" i="1" s="1"/>
  <c r="H588" i="1"/>
  <c r="J588" i="1" s="1"/>
  <c r="H589" i="1"/>
  <c r="J589" i="1" s="1"/>
  <c r="H590" i="1"/>
  <c r="J590" i="1" s="1"/>
  <c r="H591" i="1"/>
  <c r="J591" i="1" s="1"/>
  <c r="H592" i="1"/>
  <c r="J592" i="1" s="1"/>
  <c r="H593" i="1"/>
  <c r="J593" i="1" s="1"/>
  <c r="H594" i="1"/>
  <c r="J594" i="1" s="1"/>
  <c r="H595" i="1"/>
  <c r="J595" i="1" s="1"/>
  <c r="H596" i="1"/>
  <c r="J596" i="1" s="1"/>
  <c r="H597" i="1"/>
  <c r="J597" i="1" s="1"/>
  <c r="H598" i="1"/>
  <c r="J598" i="1" s="1"/>
  <c r="H599" i="1"/>
  <c r="J599" i="1" s="1"/>
  <c r="H600" i="1"/>
  <c r="J600" i="1" s="1"/>
  <c r="H549" i="1"/>
  <c r="J549" i="1" s="1"/>
  <c r="H550" i="1"/>
  <c r="J550" i="1" s="1"/>
  <c r="H548" i="1"/>
  <c r="J548" i="1" s="1"/>
  <c r="H547" i="1"/>
  <c r="J547" i="1" s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J539" i="1" s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20" i="1"/>
  <c r="I520" i="1"/>
  <c r="J520" i="1" s="1"/>
  <c r="H521" i="1"/>
  <c r="I521" i="1"/>
  <c r="H522" i="1"/>
  <c r="I522" i="1"/>
  <c r="H523" i="1"/>
  <c r="I523" i="1"/>
  <c r="H524" i="1"/>
  <c r="I524" i="1"/>
  <c r="H525" i="1"/>
  <c r="I525" i="1"/>
  <c r="H526" i="1"/>
  <c r="I526" i="1"/>
  <c r="I514" i="1"/>
  <c r="I515" i="1"/>
  <c r="I516" i="1"/>
  <c r="I517" i="1"/>
  <c r="I518" i="1"/>
  <c r="I519" i="1"/>
  <c r="H514" i="1"/>
  <c r="H515" i="1"/>
  <c r="H516" i="1"/>
  <c r="H517" i="1"/>
  <c r="H518" i="1"/>
  <c r="H519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3" i="1"/>
  <c r="AD23" i="4"/>
  <c r="AD24" i="4"/>
  <c r="AD25" i="4"/>
  <c r="AD26" i="4"/>
  <c r="H469" i="1"/>
  <c r="I141" i="1"/>
  <c r="H141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J345" i="1" s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J361" i="1" s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J377" i="1" s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J393" i="1" s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J409" i="1" s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J425" i="1" s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J441" i="1" s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J457" i="1" s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3" i="1"/>
  <c r="H482" i="1"/>
  <c r="H483" i="1"/>
  <c r="H484" i="1"/>
  <c r="H485" i="1"/>
  <c r="H486" i="1"/>
  <c r="H487" i="1"/>
  <c r="H488" i="1"/>
  <c r="H489" i="1"/>
  <c r="H490" i="1"/>
  <c r="H491" i="1"/>
  <c r="H492" i="1"/>
  <c r="H253" i="1"/>
  <c r="J253" i="1" s="1"/>
  <c r="H254" i="1"/>
  <c r="J254" i="1" s="1"/>
  <c r="H255" i="1"/>
  <c r="H256" i="1"/>
  <c r="H257" i="1"/>
  <c r="H258" i="1"/>
  <c r="H259" i="1"/>
  <c r="H260" i="1"/>
  <c r="H261" i="1"/>
  <c r="H262" i="1"/>
  <c r="J262" i="1" s="1"/>
  <c r="H263" i="1"/>
  <c r="H264" i="1"/>
  <c r="H265" i="1"/>
  <c r="H266" i="1"/>
  <c r="H267" i="1"/>
  <c r="H268" i="1"/>
  <c r="H269" i="1"/>
  <c r="H270" i="1"/>
  <c r="J270" i="1" s="1"/>
  <c r="H271" i="1"/>
  <c r="H272" i="1"/>
  <c r="H273" i="1"/>
  <c r="H274" i="1"/>
  <c r="H275" i="1"/>
  <c r="H276" i="1"/>
  <c r="H277" i="1"/>
  <c r="H278" i="1"/>
  <c r="J278" i="1" s="1"/>
  <c r="H279" i="1"/>
  <c r="H280" i="1"/>
  <c r="H281" i="1"/>
  <c r="H282" i="1"/>
  <c r="H283" i="1"/>
  <c r="H284" i="1"/>
  <c r="H285" i="1"/>
  <c r="J285" i="1" s="1"/>
  <c r="H286" i="1"/>
  <c r="H287" i="1"/>
  <c r="H288" i="1"/>
  <c r="H289" i="1"/>
  <c r="H290" i="1"/>
  <c r="H291" i="1"/>
  <c r="H292" i="1"/>
  <c r="H293" i="1"/>
  <c r="H294" i="1"/>
  <c r="J294" i="1" s="1"/>
  <c r="H295" i="1"/>
  <c r="H296" i="1"/>
  <c r="H297" i="1"/>
  <c r="H298" i="1"/>
  <c r="H299" i="1"/>
  <c r="H300" i="1"/>
  <c r="H301" i="1"/>
  <c r="J301" i="1" s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J317" i="1" s="1"/>
  <c r="H318" i="1"/>
  <c r="J318" i="1" s="1"/>
  <c r="H319" i="1"/>
  <c r="H320" i="1"/>
  <c r="H321" i="1"/>
  <c r="H322" i="1"/>
  <c r="H323" i="1"/>
  <c r="H324" i="1"/>
  <c r="H325" i="1"/>
  <c r="H326" i="1"/>
  <c r="J326" i="1" s="1"/>
  <c r="H327" i="1"/>
  <c r="H328" i="1"/>
  <c r="H329" i="1"/>
  <c r="H330" i="1"/>
  <c r="H331" i="1"/>
  <c r="H332" i="1"/>
  <c r="H333" i="1"/>
  <c r="J333" i="1" s="1"/>
  <c r="H334" i="1"/>
  <c r="J334" i="1" s="1"/>
  <c r="H335" i="1"/>
  <c r="H336" i="1"/>
  <c r="H337" i="1"/>
  <c r="H338" i="1"/>
  <c r="H339" i="1"/>
  <c r="H340" i="1"/>
  <c r="H341" i="1"/>
  <c r="H342" i="1"/>
  <c r="J342" i="1" s="1"/>
  <c r="H343" i="1"/>
  <c r="H344" i="1"/>
  <c r="H345" i="1"/>
  <c r="H346" i="1"/>
  <c r="H347" i="1"/>
  <c r="H348" i="1"/>
  <c r="H349" i="1"/>
  <c r="J349" i="1" s="1"/>
  <c r="H350" i="1"/>
  <c r="J350" i="1" s="1"/>
  <c r="H351" i="1"/>
  <c r="H352" i="1"/>
  <c r="H353" i="1"/>
  <c r="H354" i="1"/>
  <c r="H355" i="1"/>
  <c r="H356" i="1"/>
  <c r="H357" i="1"/>
  <c r="H358" i="1"/>
  <c r="J358" i="1" s="1"/>
  <c r="H359" i="1"/>
  <c r="H360" i="1"/>
  <c r="H361" i="1"/>
  <c r="H362" i="1"/>
  <c r="H363" i="1"/>
  <c r="H364" i="1"/>
  <c r="H365" i="1"/>
  <c r="J365" i="1" s="1"/>
  <c r="H366" i="1"/>
  <c r="J366" i="1" s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J381" i="1" s="1"/>
  <c r="H382" i="1"/>
  <c r="J382" i="1" s="1"/>
  <c r="H383" i="1"/>
  <c r="H384" i="1"/>
  <c r="H385" i="1"/>
  <c r="H386" i="1"/>
  <c r="H387" i="1"/>
  <c r="H388" i="1"/>
  <c r="H389" i="1"/>
  <c r="H390" i="1"/>
  <c r="J390" i="1" s="1"/>
  <c r="H391" i="1"/>
  <c r="H392" i="1"/>
  <c r="H393" i="1"/>
  <c r="H394" i="1"/>
  <c r="H395" i="1"/>
  <c r="H396" i="1"/>
  <c r="H397" i="1"/>
  <c r="H398" i="1"/>
  <c r="J398" i="1" s="1"/>
  <c r="H399" i="1"/>
  <c r="H400" i="1"/>
  <c r="H401" i="1"/>
  <c r="H402" i="1"/>
  <c r="H403" i="1"/>
  <c r="H404" i="1"/>
  <c r="H405" i="1"/>
  <c r="H406" i="1"/>
  <c r="J406" i="1" s="1"/>
  <c r="H407" i="1"/>
  <c r="H408" i="1"/>
  <c r="H409" i="1"/>
  <c r="H410" i="1"/>
  <c r="H411" i="1"/>
  <c r="H412" i="1"/>
  <c r="H413" i="1"/>
  <c r="J413" i="1" s="1"/>
  <c r="H414" i="1"/>
  <c r="J414" i="1" s="1"/>
  <c r="H415" i="1"/>
  <c r="H416" i="1"/>
  <c r="H417" i="1"/>
  <c r="H418" i="1"/>
  <c r="H419" i="1"/>
  <c r="H420" i="1"/>
  <c r="H421" i="1"/>
  <c r="H422" i="1"/>
  <c r="J422" i="1" s="1"/>
  <c r="H423" i="1"/>
  <c r="H424" i="1"/>
  <c r="H425" i="1"/>
  <c r="H426" i="1"/>
  <c r="H427" i="1"/>
  <c r="H428" i="1"/>
  <c r="H429" i="1"/>
  <c r="J429" i="1" s="1"/>
  <c r="H430" i="1"/>
  <c r="J430" i="1" s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J192" i="1" s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J208" i="1" s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J240" i="1" s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171" i="1"/>
  <c r="H172" i="1"/>
  <c r="H173" i="1"/>
  <c r="H123" i="1"/>
  <c r="H124" i="1"/>
  <c r="J124" i="1" s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J140" i="1" s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57" i="1"/>
  <c r="H49" i="1"/>
  <c r="H50" i="1"/>
  <c r="H51" i="1"/>
  <c r="H52" i="1"/>
  <c r="H53" i="1"/>
  <c r="H54" i="1"/>
  <c r="H55" i="1"/>
  <c r="J55" i="1" s="1"/>
  <c r="H56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13" i="1"/>
  <c r="H14" i="1"/>
  <c r="H15" i="1"/>
  <c r="H16" i="1"/>
  <c r="J16" i="1" s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4" i="1"/>
  <c r="H5" i="1"/>
  <c r="H6" i="1"/>
  <c r="H7" i="1"/>
  <c r="H8" i="1"/>
  <c r="H9" i="1"/>
  <c r="H10" i="1"/>
  <c r="H11" i="1"/>
  <c r="H12" i="1"/>
  <c r="H3" i="1"/>
  <c r="J306" i="1" l="1"/>
  <c r="J110" i="1"/>
  <c r="J128" i="1"/>
  <c r="J448" i="1"/>
  <c r="J432" i="1"/>
  <c r="J416" i="1"/>
  <c r="J368" i="1"/>
  <c r="J352" i="1"/>
  <c r="J336" i="1"/>
  <c r="J304" i="1"/>
  <c r="J288" i="1"/>
  <c r="J272" i="1"/>
  <c r="J256" i="1"/>
  <c r="J39" i="1"/>
  <c r="J92" i="1"/>
  <c r="J171" i="1"/>
  <c r="J23" i="1"/>
  <c r="J19" i="1"/>
  <c r="J94" i="1"/>
  <c r="J78" i="1"/>
  <c r="J211" i="1"/>
  <c r="J195" i="1"/>
  <c r="J15" i="1"/>
  <c r="J73" i="1"/>
  <c r="J205" i="1"/>
  <c r="J189" i="1"/>
  <c r="J35" i="1"/>
  <c r="J213" i="1"/>
  <c r="J44" i="1"/>
  <c r="J58" i="1"/>
  <c r="J535" i="1"/>
  <c r="J527" i="1"/>
  <c r="J386" i="1"/>
  <c r="J322" i="1"/>
  <c r="J258" i="1"/>
  <c r="J11" i="1"/>
  <c r="J117" i="1"/>
  <c r="J28" i="1"/>
  <c r="J181" i="1"/>
  <c r="J354" i="1"/>
  <c r="J274" i="1"/>
  <c r="J84" i="1"/>
  <c r="J392" i="1"/>
  <c r="J418" i="1"/>
  <c r="J338" i="1"/>
  <c r="J290" i="1"/>
  <c r="J164" i="1"/>
  <c r="J115" i="1"/>
  <c r="J99" i="1"/>
  <c r="J83" i="1"/>
  <c r="J359" i="1"/>
  <c r="J263" i="1"/>
  <c r="J197" i="1"/>
  <c r="J431" i="1"/>
  <c r="J415" i="1"/>
  <c r="J399" i="1"/>
  <c r="J383" i="1"/>
  <c r="J351" i="1"/>
  <c r="J335" i="1"/>
  <c r="J319" i="1"/>
  <c r="J303" i="1"/>
  <c r="J287" i="1"/>
  <c r="J271" i="1"/>
  <c r="J255" i="1"/>
  <c r="J98" i="1"/>
  <c r="J132" i="1"/>
  <c r="J518" i="1"/>
  <c r="J82" i="1"/>
  <c r="J310" i="1"/>
  <c r="J127" i="1"/>
  <c r="J95" i="1"/>
  <c r="J79" i="1"/>
  <c r="J519" i="1"/>
  <c r="J20" i="1"/>
  <c r="J175" i="1"/>
  <c r="J126" i="1"/>
  <c r="J109" i="1"/>
  <c r="J93" i="1"/>
  <c r="J77" i="1"/>
  <c r="J61" i="1"/>
  <c r="J417" i="1"/>
  <c r="J401" i="1"/>
  <c r="J385" i="1"/>
  <c r="J369" i="1"/>
  <c r="J353" i="1"/>
  <c r="J241" i="1"/>
  <c r="J209" i="1"/>
  <c r="J193" i="1"/>
  <c r="J174" i="1"/>
  <c r="J125" i="1"/>
  <c r="J100" i="1"/>
  <c r="J18" i="1"/>
  <c r="J173" i="1"/>
  <c r="J108" i="1"/>
  <c r="J384" i="1"/>
  <c r="J46" i="1"/>
  <c r="J56" i="1"/>
  <c r="J116" i="1"/>
  <c r="J17" i="1"/>
  <c r="J172" i="1"/>
  <c r="J367" i="1"/>
  <c r="J239" i="1"/>
  <c r="J207" i="1"/>
  <c r="J191" i="1"/>
  <c r="J515" i="1"/>
  <c r="J245" i="1"/>
  <c r="J423" i="1"/>
  <c r="J407" i="1"/>
  <c r="J391" i="1"/>
  <c r="J375" i="1"/>
  <c r="J327" i="1"/>
  <c r="J311" i="1"/>
  <c r="J295" i="1"/>
  <c r="J302" i="1"/>
  <c r="J286" i="1"/>
  <c r="J206" i="1"/>
  <c r="J190" i="1"/>
  <c r="J81" i="1"/>
  <c r="J36" i="1"/>
  <c r="J405" i="1"/>
  <c r="J389" i="1"/>
  <c r="J357" i="1"/>
  <c r="J341" i="1"/>
  <c r="J325" i="1"/>
  <c r="J309" i="1"/>
  <c r="J293" i="1"/>
  <c r="J277" i="1"/>
  <c r="J114" i="1"/>
  <c r="J80" i="1"/>
  <c r="J131" i="1"/>
  <c r="J112" i="1"/>
  <c r="J420" i="1"/>
  <c r="J388" i="1"/>
  <c r="J356" i="1"/>
  <c r="J324" i="1"/>
  <c r="J276" i="1"/>
  <c r="J97" i="1"/>
  <c r="J471" i="1"/>
  <c r="J52" i="1"/>
  <c r="J96" i="1"/>
  <c r="J113" i="1"/>
  <c r="J421" i="1"/>
  <c r="J372" i="1"/>
  <c r="J340" i="1"/>
  <c r="J308" i="1"/>
  <c r="J292" i="1"/>
  <c r="J260" i="1"/>
  <c r="J129" i="1"/>
  <c r="J419" i="1"/>
  <c r="J403" i="1"/>
  <c r="J387" i="1"/>
  <c r="J371" i="1"/>
  <c r="J339" i="1"/>
  <c r="J323" i="1"/>
  <c r="J307" i="1"/>
  <c r="J291" i="1"/>
  <c r="J275" i="1"/>
  <c r="J259" i="1"/>
  <c r="J76" i="1"/>
  <c r="J60" i="1"/>
  <c r="J400" i="1"/>
  <c r="J320" i="1"/>
  <c r="J528" i="1"/>
  <c r="J54" i="1"/>
  <c r="J38" i="1"/>
  <c r="J139" i="1"/>
  <c r="J123" i="1"/>
  <c r="J107" i="1"/>
  <c r="J91" i="1"/>
  <c r="J75" i="1"/>
  <c r="J447" i="1"/>
  <c r="J40" i="1"/>
  <c r="J53" i="1"/>
  <c r="J37" i="1"/>
  <c r="J138" i="1"/>
  <c r="J122" i="1"/>
  <c r="J106" i="1"/>
  <c r="J90" i="1"/>
  <c r="J446" i="1"/>
  <c r="J170" i="1"/>
  <c r="J154" i="1"/>
  <c r="J137" i="1"/>
  <c r="J121" i="1"/>
  <c r="J105" i="1"/>
  <c r="J89" i="1"/>
  <c r="J397" i="1"/>
  <c r="J269" i="1"/>
  <c r="J14" i="1"/>
  <c r="J51" i="1"/>
  <c r="J169" i="1"/>
  <c r="J153" i="1"/>
  <c r="J136" i="1"/>
  <c r="J120" i="1"/>
  <c r="J104" i="1"/>
  <c r="J88" i="1"/>
  <c r="J72" i="1"/>
  <c r="J492" i="1"/>
  <c r="J460" i="1"/>
  <c r="J444" i="1"/>
  <c r="J428" i="1"/>
  <c r="J412" i="1"/>
  <c r="J252" i="1"/>
  <c r="J236" i="1"/>
  <c r="J220" i="1"/>
  <c r="J204" i="1"/>
  <c r="J188" i="1"/>
  <c r="J30" i="1"/>
  <c r="J130" i="1"/>
  <c r="J13" i="1"/>
  <c r="J50" i="1"/>
  <c r="J34" i="1"/>
  <c r="J168" i="1"/>
  <c r="J152" i="1"/>
  <c r="J135" i="1"/>
  <c r="J119" i="1"/>
  <c r="J103" i="1"/>
  <c r="J87" i="1"/>
  <c r="J71" i="1"/>
  <c r="J491" i="1"/>
  <c r="J475" i="1"/>
  <c r="J459" i="1"/>
  <c r="J443" i="1"/>
  <c r="J363" i="1"/>
  <c r="J347" i="1"/>
  <c r="J251" i="1"/>
  <c r="J235" i="1"/>
  <c r="J219" i="1"/>
  <c r="J203" i="1"/>
  <c r="J187" i="1"/>
  <c r="J12" i="1"/>
  <c r="J49" i="1"/>
  <c r="J33" i="1"/>
  <c r="J167" i="1"/>
  <c r="J151" i="1"/>
  <c r="J134" i="1"/>
  <c r="J118" i="1"/>
  <c r="J102" i="1"/>
  <c r="J86" i="1"/>
  <c r="J70" i="1"/>
  <c r="J458" i="1"/>
  <c r="J442" i="1"/>
  <c r="J426" i="1"/>
  <c r="J410" i="1"/>
  <c r="J394" i="1"/>
  <c r="J378" i="1"/>
  <c r="J362" i="1"/>
  <c r="J346" i="1"/>
  <c r="J282" i="1"/>
  <c r="J266" i="1"/>
  <c r="J250" i="1"/>
  <c r="J234" i="1"/>
  <c r="J218" i="1"/>
  <c r="J202" i="1"/>
  <c r="J186" i="1"/>
  <c r="J541" i="1"/>
  <c r="J32" i="1"/>
  <c r="J150" i="1"/>
  <c r="J133" i="1"/>
  <c r="J101" i="1"/>
  <c r="J85" i="1"/>
  <c r="J69" i="1"/>
  <c r="J217" i="1"/>
  <c r="J201" i="1"/>
  <c r="J185" i="1"/>
  <c r="J179" i="1"/>
  <c r="J48" i="1"/>
  <c r="J166" i="1"/>
  <c r="J337" i="1"/>
  <c r="J321" i="1"/>
  <c r="J305" i="1"/>
  <c r="J289" i="1"/>
  <c r="J273" i="1"/>
  <c r="J257" i="1"/>
  <c r="J3" i="1"/>
  <c r="J10" i="1"/>
  <c r="J47" i="1"/>
  <c r="J31" i="1"/>
  <c r="J165" i="1"/>
  <c r="J68" i="1"/>
  <c r="J456" i="1"/>
  <c r="J440" i="1"/>
  <c r="J376" i="1"/>
  <c r="J328" i="1"/>
  <c r="J248" i="1"/>
  <c r="J216" i="1"/>
  <c r="J200" i="1"/>
  <c r="J184" i="1"/>
  <c r="J178" i="1"/>
  <c r="J25" i="1"/>
  <c r="J9" i="1"/>
  <c r="J343" i="1"/>
  <c r="J279" i="1"/>
  <c r="J247" i="1"/>
  <c r="J215" i="1"/>
  <c r="J199" i="1"/>
  <c r="J183" i="1"/>
  <c r="J177" i="1"/>
  <c r="J24" i="1"/>
  <c r="J8" i="1"/>
  <c r="J45" i="1"/>
  <c r="J29" i="1"/>
  <c r="J374" i="1"/>
  <c r="J246" i="1"/>
  <c r="J214" i="1"/>
  <c r="J198" i="1"/>
  <c r="J182" i="1"/>
  <c r="J176" i="1"/>
  <c r="J531" i="1"/>
  <c r="J7" i="1"/>
  <c r="J261" i="1"/>
  <c r="J22" i="1"/>
  <c r="J6" i="1"/>
  <c r="J43" i="1"/>
  <c r="J27" i="1"/>
  <c r="J404" i="1"/>
  <c r="J212" i="1"/>
  <c r="J196" i="1"/>
  <c r="J141" i="1"/>
  <c r="J546" i="1"/>
  <c r="J538" i="1"/>
  <c r="J21" i="1"/>
  <c r="J5" i="1"/>
  <c r="J42" i="1"/>
  <c r="J26" i="1"/>
  <c r="J111" i="1"/>
  <c r="J355" i="1"/>
  <c r="J4" i="1"/>
  <c r="J41" i="1"/>
  <c r="J402" i="1"/>
  <c r="J370" i="1"/>
  <c r="J210" i="1"/>
  <c r="J194" i="1"/>
  <c r="J545" i="1"/>
  <c r="J537" i="1"/>
  <c r="J529" i="1"/>
  <c r="J232" i="1"/>
  <c r="J148" i="1"/>
  <c r="J67" i="1"/>
  <c r="J455" i="1"/>
  <c r="J439" i="1"/>
  <c r="J231" i="1"/>
  <c r="J147" i="1"/>
  <c r="J454" i="1"/>
  <c r="J162" i="1"/>
  <c r="J146" i="1"/>
  <c r="J65" i="1"/>
  <c r="J453" i="1"/>
  <c r="J437" i="1"/>
  <c r="J229" i="1"/>
  <c r="J66" i="1"/>
  <c r="J161" i="1"/>
  <c r="J64" i="1"/>
  <c r="J436" i="1"/>
  <c r="J228" i="1"/>
  <c r="J249" i="1"/>
  <c r="J145" i="1"/>
  <c r="J244" i="1"/>
  <c r="J396" i="1"/>
  <c r="J380" i="1"/>
  <c r="J364" i="1"/>
  <c r="J348" i="1"/>
  <c r="J332" i="1"/>
  <c r="J316" i="1"/>
  <c r="J300" i="1"/>
  <c r="J284" i="1"/>
  <c r="J268" i="1"/>
  <c r="J160" i="1"/>
  <c r="J144" i="1"/>
  <c r="J63" i="1"/>
  <c r="J483" i="1"/>
  <c r="J451" i="1"/>
  <c r="J435" i="1"/>
  <c r="J243" i="1"/>
  <c r="J227" i="1"/>
  <c r="J233" i="1"/>
  <c r="J438" i="1"/>
  <c r="J230" i="1"/>
  <c r="J484" i="1"/>
  <c r="J452" i="1"/>
  <c r="J427" i="1"/>
  <c r="J411" i="1"/>
  <c r="J395" i="1"/>
  <c r="J379" i="1"/>
  <c r="J331" i="1"/>
  <c r="J315" i="1"/>
  <c r="J299" i="1"/>
  <c r="J283" i="1"/>
  <c r="J267" i="1"/>
  <c r="J159" i="1"/>
  <c r="J143" i="1"/>
  <c r="J62" i="1"/>
  <c r="J482" i="1"/>
  <c r="J450" i="1"/>
  <c r="J434" i="1"/>
  <c r="J242" i="1"/>
  <c r="J226" i="1"/>
  <c r="J534" i="1"/>
  <c r="J433" i="1"/>
  <c r="J225" i="1"/>
  <c r="J149" i="1"/>
  <c r="J330" i="1"/>
  <c r="J314" i="1"/>
  <c r="J298" i="1"/>
  <c r="J158" i="1"/>
  <c r="J142" i="1"/>
  <c r="J449" i="1"/>
  <c r="J329" i="1"/>
  <c r="J313" i="1"/>
  <c r="J297" i="1"/>
  <c r="J281" i="1"/>
  <c r="J265" i="1"/>
  <c r="J157" i="1"/>
  <c r="J224" i="1"/>
  <c r="J296" i="1"/>
  <c r="J264" i="1"/>
  <c r="J156" i="1"/>
  <c r="J59" i="1"/>
  <c r="J223" i="1"/>
  <c r="J163" i="1"/>
  <c r="J473" i="1"/>
  <c r="J424" i="1"/>
  <c r="J408" i="1"/>
  <c r="J360" i="1"/>
  <c r="J344" i="1"/>
  <c r="J312" i="1"/>
  <c r="J280" i="1"/>
  <c r="J472" i="1"/>
  <c r="J155" i="1"/>
  <c r="J74" i="1"/>
  <c r="J462" i="1"/>
  <c r="J238" i="1"/>
  <c r="J222" i="1"/>
  <c r="J57" i="1"/>
  <c r="J461" i="1"/>
  <c r="J445" i="1"/>
  <c r="J237" i="1"/>
  <c r="J221" i="1"/>
  <c r="J513" i="1"/>
  <c r="J517" i="1"/>
  <c r="J180" i="1"/>
  <c r="J540" i="1"/>
  <c r="J516" i="1"/>
  <c r="J532" i="1"/>
  <c r="J514" i="1"/>
  <c r="J530" i="1"/>
  <c r="J525" i="1"/>
  <c r="J536" i="1"/>
  <c r="J543" i="1"/>
  <c r="J523" i="1"/>
  <c r="J542" i="1"/>
  <c r="J512" i="1"/>
  <c r="J522" i="1"/>
  <c r="J521" i="1"/>
  <c r="J526" i="1"/>
  <c r="J533" i="1"/>
  <c r="J544" i="1"/>
  <c r="J524" i="1"/>
  <c r="J509" i="1"/>
  <c r="J507" i="1"/>
  <c r="J505" i="1"/>
  <c r="J504" i="1"/>
  <c r="J510" i="1"/>
  <c r="J501" i="1"/>
  <c r="J499" i="1"/>
  <c r="J493" i="1"/>
  <c r="J511" i="1"/>
  <c r="J506" i="1"/>
  <c r="J498" i="1"/>
  <c r="J502" i="1"/>
  <c r="J500" i="1"/>
  <c r="J497" i="1"/>
  <c r="J494" i="1"/>
  <c r="J508" i="1"/>
  <c r="J503" i="1"/>
  <c r="J495" i="1"/>
  <c r="J496" i="1"/>
  <c r="J474" i="1"/>
  <c r="J465" i="1"/>
  <c r="J464" i="1"/>
  <c r="J463" i="1"/>
  <c r="J481" i="1"/>
  <c r="J485" i="1"/>
  <c r="J373" i="1"/>
  <c r="J490" i="1"/>
  <c r="J480" i="1"/>
  <c r="J470" i="1"/>
  <c r="J489" i="1"/>
  <c r="J479" i="1"/>
  <c r="J488" i="1"/>
  <c r="J478" i="1"/>
  <c r="J468" i="1"/>
  <c r="J487" i="1"/>
  <c r="J477" i="1"/>
  <c r="J467" i="1"/>
  <c r="J486" i="1"/>
  <c r="J476" i="1"/>
  <c r="J466" i="1"/>
  <c r="J469" i="1"/>
</calcChain>
</file>

<file path=xl/sharedStrings.xml><?xml version="1.0" encoding="utf-8"?>
<sst xmlns="http://schemas.openxmlformats.org/spreadsheetml/2006/main" count="1741" uniqueCount="926">
  <si>
    <t>Exp.No.</t>
    <phoneticPr fontId="3" type="noConversion"/>
  </si>
  <si>
    <t>Liquid type</t>
    <phoneticPr fontId="3" type="noConversion"/>
  </si>
  <si>
    <t>Flow rate (μl/min)</t>
    <phoneticPr fontId="3" type="noConversion"/>
  </si>
  <si>
    <t>Exp 031</t>
    <phoneticPr fontId="3" type="noConversion"/>
  </si>
  <si>
    <t>Exp 032</t>
    <phoneticPr fontId="3" type="noConversion"/>
  </si>
  <si>
    <t>Exp 033</t>
  </si>
  <si>
    <t>Exp 034</t>
  </si>
  <si>
    <t>Exp 035</t>
  </si>
  <si>
    <t>Exp 036</t>
  </si>
  <si>
    <t>Exp 037</t>
  </si>
  <si>
    <t>Exp 038</t>
  </si>
  <si>
    <t>Exp 039</t>
  </si>
  <si>
    <t>Exp 040</t>
  </si>
  <si>
    <t>Exp 041</t>
  </si>
  <si>
    <t>Exp 042</t>
  </si>
  <si>
    <t>Exp 043</t>
  </si>
  <si>
    <t>Exp 044</t>
  </si>
  <si>
    <t>Exp 045</t>
  </si>
  <si>
    <t>Exp 046</t>
  </si>
  <si>
    <t>Exp 047</t>
  </si>
  <si>
    <t>Exp 048</t>
  </si>
  <si>
    <t>Exp 049</t>
  </si>
  <si>
    <t>Exp 050</t>
  </si>
  <si>
    <t>Exp 051</t>
  </si>
  <si>
    <t>Exp 052</t>
  </si>
  <si>
    <t>Exp 053</t>
  </si>
  <si>
    <t>Exp 054</t>
  </si>
  <si>
    <t>Exp 055</t>
  </si>
  <si>
    <t>Exp 056</t>
  </si>
  <si>
    <t>Exp 057</t>
  </si>
  <si>
    <t>Exp 058</t>
  </si>
  <si>
    <t>Exp 059</t>
  </si>
  <si>
    <t>Exp 060</t>
  </si>
  <si>
    <t>Exp 061</t>
  </si>
  <si>
    <t>Exp 062</t>
  </si>
  <si>
    <t>Pure glycerin</t>
    <phoneticPr fontId="3" type="noConversion"/>
  </si>
  <si>
    <t>Viscosity (mPa.s)</t>
    <phoneticPr fontId="3" type="noConversion"/>
  </si>
  <si>
    <t>Density (kg/m^3)</t>
    <phoneticPr fontId="3" type="noConversion"/>
  </si>
  <si>
    <t>50% water + 50% glycerin</t>
  </si>
  <si>
    <t>50% water + 50% glycerin</t>
    <phoneticPr fontId="3" type="noConversion"/>
  </si>
  <si>
    <t>Exp 063</t>
  </si>
  <si>
    <t>Exp 064</t>
  </si>
  <si>
    <t>Exp 065</t>
  </si>
  <si>
    <t>Exp 066</t>
  </si>
  <si>
    <t>Exp 067</t>
  </si>
  <si>
    <t>Exp 068</t>
  </si>
  <si>
    <t>Exp 069</t>
  </si>
  <si>
    <t>Exp 070</t>
  </si>
  <si>
    <t>Exp 071</t>
  </si>
  <si>
    <t>Exp 072</t>
  </si>
  <si>
    <t>Exp 073</t>
  </si>
  <si>
    <t>Exp 074</t>
  </si>
  <si>
    <t>Exp 075</t>
  </si>
  <si>
    <t>Exp 076</t>
  </si>
  <si>
    <t>Exp 077</t>
  </si>
  <si>
    <t>Exp 078</t>
  </si>
  <si>
    <t>Exp 079</t>
  </si>
  <si>
    <t>Exp 080</t>
  </si>
  <si>
    <t>Exp 081</t>
  </si>
  <si>
    <t>Exp 082</t>
  </si>
  <si>
    <t>Exp 083</t>
  </si>
  <si>
    <t>Exp 084</t>
  </si>
  <si>
    <t>Exp 103</t>
  </si>
  <si>
    <t>Exp 104</t>
  </si>
  <si>
    <t>Exp 105</t>
  </si>
  <si>
    <t>Exp 106</t>
  </si>
  <si>
    <t>Exp 107</t>
  </si>
  <si>
    <t>Exp 108</t>
  </si>
  <si>
    <t>Exp 109</t>
  </si>
  <si>
    <t>Exp 110</t>
  </si>
  <si>
    <t>Exp 111</t>
  </si>
  <si>
    <t>Exp 112</t>
  </si>
  <si>
    <t>Exp 113</t>
  </si>
  <si>
    <t>Exp 114</t>
  </si>
  <si>
    <t>Exp 115</t>
  </si>
  <si>
    <t>Exp 116</t>
  </si>
  <si>
    <t>Exp 117</t>
  </si>
  <si>
    <t>Exp 118</t>
  </si>
  <si>
    <t>Exp 119</t>
  </si>
  <si>
    <t>Exp 120</t>
  </si>
  <si>
    <t>Exp 121</t>
  </si>
  <si>
    <t>Exp 122</t>
  </si>
  <si>
    <t>Exp 123</t>
  </si>
  <si>
    <t>Exp 124</t>
  </si>
  <si>
    <t>Exp 125</t>
  </si>
  <si>
    <t>Exp 126</t>
  </si>
  <si>
    <t>Exp 127</t>
  </si>
  <si>
    <t>Exp 128</t>
  </si>
  <si>
    <t>Exp 129</t>
  </si>
  <si>
    <t>Exp 130</t>
  </si>
  <si>
    <t>Exp 131</t>
  </si>
  <si>
    <t>Exp 132</t>
  </si>
  <si>
    <t>Exp 133</t>
  </si>
  <si>
    <t>Exp 134</t>
  </si>
  <si>
    <t>Exp 135</t>
  </si>
  <si>
    <t>Exp 136</t>
  </si>
  <si>
    <t>Exp 137</t>
  </si>
  <si>
    <t>Exp 138</t>
  </si>
  <si>
    <t>Exp 139</t>
  </si>
  <si>
    <t>Exp 140</t>
  </si>
  <si>
    <t>Exp 141</t>
  </si>
  <si>
    <t>Exp 142</t>
  </si>
  <si>
    <t>Exp 143</t>
  </si>
  <si>
    <t>Exp 144</t>
  </si>
  <si>
    <t>Exp 145</t>
  </si>
  <si>
    <t>Exp 146</t>
  </si>
  <si>
    <t>Exp 147</t>
  </si>
  <si>
    <t>Exp 148</t>
  </si>
  <si>
    <t>Exp 149</t>
  </si>
  <si>
    <t>Exp 150</t>
  </si>
  <si>
    <t>Exp 151</t>
  </si>
  <si>
    <t>Exp 152</t>
  </si>
  <si>
    <t>Exp 153</t>
  </si>
  <si>
    <t>Exp 154</t>
  </si>
  <si>
    <t>Exp 155</t>
  </si>
  <si>
    <t>Exp 156</t>
  </si>
  <si>
    <t>Exp 157</t>
  </si>
  <si>
    <t>Exp 158</t>
  </si>
  <si>
    <t>Exp 159</t>
  </si>
  <si>
    <t>Exp 160</t>
  </si>
  <si>
    <t>Exp 161</t>
  </si>
  <si>
    <t>Exp 162</t>
  </si>
  <si>
    <t>Exp 163</t>
  </si>
  <si>
    <t>Exp 164</t>
  </si>
  <si>
    <t>Exp 165</t>
  </si>
  <si>
    <t>Exp 166</t>
  </si>
  <si>
    <t>Exp 167</t>
  </si>
  <si>
    <t>Exp 168</t>
  </si>
  <si>
    <t>Exp 169</t>
  </si>
  <si>
    <t>Exp 170</t>
  </si>
  <si>
    <t>Exp 171</t>
  </si>
  <si>
    <t>Exp 172</t>
  </si>
  <si>
    <t>Exp 173</t>
  </si>
  <si>
    <t>Exp 174</t>
  </si>
  <si>
    <t>Exp 175</t>
  </si>
  <si>
    <t>Exp 176</t>
  </si>
  <si>
    <t>Exp 177</t>
  </si>
  <si>
    <t>Exp 178</t>
  </si>
  <si>
    <t>Exp 179</t>
  </si>
  <si>
    <t>Exp 180</t>
  </si>
  <si>
    <t>Exp 181</t>
  </si>
  <si>
    <t>Exp 182</t>
  </si>
  <si>
    <t>Exp 183</t>
  </si>
  <si>
    <t>Exp 184</t>
  </si>
  <si>
    <t>Exp 185</t>
  </si>
  <si>
    <t>Exp 186</t>
  </si>
  <si>
    <t>Exp 187</t>
  </si>
  <si>
    <t>Exp 188</t>
  </si>
  <si>
    <t>Exp 189</t>
  </si>
  <si>
    <t>Exp 190</t>
  </si>
  <si>
    <t>Exp 191</t>
  </si>
  <si>
    <t>Exp 192</t>
  </si>
  <si>
    <t>Exp 193</t>
  </si>
  <si>
    <t>Exp 194</t>
  </si>
  <si>
    <t>Exp 195</t>
  </si>
  <si>
    <t>Exp 196</t>
  </si>
  <si>
    <t>Exp 197</t>
  </si>
  <si>
    <t>Exp 198</t>
  </si>
  <si>
    <t>Exp 199</t>
  </si>
  <si>
    <t>Exp 200</t>
  </si>
  <si>
    <t>Exp 201</t>
  </si>
  <si>
    <t>Exp 202</t>
  </si>
  <si>
    <t>Exp 203</t>
  </si>
  <si>
    <t>Exp 204</t>
  </si>
  <si>
    <t>Exp 205</t>
  </si>
  <si>
    <t>Exp 206</t>
  </si>
  <si>
    <t>Exp 207</t>
  </si>
  <si>
    <t>Exp 208</t>
  </si>
  <si>
    <t>Exp 209</t>
  </si>
  <si>
    <t>Exp 210</t>
  </si>
  <si>
    <t>Exp 211</t>
  </si>
  <si>
    <t>Exp 212</t>
  </si>
  <si>
    <t>Exp 213</t>
  </si>
  <si>
    <t>Exp 214</t>
  </si>
  <si>
    <t>Exp 215</t>
  </si>
  <si>
    <t>Exp 216</t>
  </si>
  <si>
    <t>Exp 237</t>
  </si>
  <si>
    <t>Exp 238</t>
  </si>
  <si>
    <t>Exp 239</t>
  </si>
  <si>
    <t>Exp 240</t>
  </si>
  <si>
    <t>Exp 241</t>
  </si>
  <si>
    <t>Exp 242</t>
  </si>
  <si>
    <t>Exp 243</t>
  </si>
  <si>
    <t>Exp 244</t>
  </si>
  <si>
    <t>Exp 245</t>
  </si>
  <si>
    <t>Exp 246</t>
  </si>
  <si>
    <t>Exp 257</t>
  </si>
  <si>
    <t>Exp 258</t>
  </si>
  <si>
    <t>Exp 259</t>
  </si>
  <si>
    <t>Exp 260</t>
  </si>
  <si>
    <t>Exp 261</t>
  </si>
  <si>
    <t>Exp 262</t>
  </si>
  <si>
    <t>Exp 263</t>
  </si>
  <si>
    <t>Exp 264</t>
  </si>
  <si>
    <t>Exp 265</t>
  </si>
  <si>
    <t>Exp 266</t>
  </si>
  <si>
    <t>Exp 267</t>
  </si>
  <si>
    <t>Exp 268</t>
  </si>
  <si>
    <t>Exp 269</t>
  </si>
  <si>
    <t>Exp 270</t>
  </si>
  <si>
    <t>Exp 271</t>
  </si>
  <si>
    <t>Exp 272</t>
  </si>
  <si>
    <t>Exp 273</t>
  </si>
  <si>
    <t>Exp 274</t>
  </si>
  <si>
    <t>Exp 275</t>
  </si>
  <si>
    <t>Exp 276</t>
  </si>
  <si>
    <t>Exp 277</t>
  </si>
  <si>
    <t>Exp 278</t>
  </si>
  <si>
    <t>Exp 279</t>
  </si>
  <si>
    <t>Exp 280</t>
  </si>
  <si>
    <t>Exp 281</t>
  </si>
  <si>
    <t>Exp 282</t>
  </si>
  <si>
    <t>Exp 283</t>
  </si>
  <si>
    <t>Exp 284</t>
  </si>
  <si>
    <t>Exp 285</t>
  </si>
  <si>
    <t>Exp 286</t>
  </si>
  <si>
    <t>Exp 287</t>
  </si>
  <si>
    <t>Exp 288</t>
  </si>
  <si>
    <t>Exp 289</t>
  </si>
  <si>
    <t>Exp 290</t>
  </si>
  <si>
    <t>Exp 291</t>
  </si>
  <si>
    <t>Exp 292</t>
  </si>
  <si>
    <t>Exp 293</t>
  </si>
  <si>
    <t>Exp 294</t>
  </si>
  <si>
    <t>Exp 295</t>
  </si>
  <si>
    <t>Exp 296</t>
  </si>
  <si>
    <t>Exp 297</t>
  </si>
  <si>
    <t>Exp 298</t>
  </si>
  <si>
    <t>Exp 299</t>
  </si>
  <si>
    <t>Exp 300</t>
  </si>
  <si>
    <t>Exp 301</t>
  </si>
  <si>
    <t>Exp 302</t>
  </si>
  <si>
    <t>Exp 303</t>
  </si>
  <si>
    <t>Exp 304</t>
  </si>
  <si>
    <t>Exp 305</t>
  </si>
  <si>
    <t>Exp 306</t>
  </si>
  <si>
    <t>Exp 307</t>
  </si>
  <si>
    <t>Exp 308</t>
  </si>
  <si>
    <t>Exp 309</t>
  </si>
  <si>
    <t>Exp 310</t>
  </si>
  <si>
    <t>Exp 311</t>
  </si>
  <si>
    <t>Exp 312</t>
  </si>
  <si>
    <t>Exp 313</t>
  </si>
  <si>
    <t>Exp 314</t>
  </si>
  <si>
    <t>Exp 315</t>
  </si>
  <si>
    <t>Exp 316</t>
  </si>
  <si>
    <t>Exp 317</t>
  </si>
  <si>
    <t>Exp 318</t>
  </si>
  <si>
    <t>Exp 319</t>
  </si>
  <si>
    <t>Exp 320</t>
  </si>
  <si>
    <t>Exp 321</t>
  </si>
  <si>
    <t>Exp 322</t>
  </si>
  <si>
    <t>Exp 323</t>
  </si>
  <si>
    <t>Exp 324</t>
  </si>
  <si>
    <t>Exp 325</t>
  </si>
  <si>
    <t>Exp 326</t>
  </si>
  <si>
    <t>Exp 327</t>
  </si>
  <si>
    <t>Exp 328</t>
  </si>
  <si>
    <t>Exp 329</t>
  </si>
  <si>
    <t>Exp 330</t>
  </si>
  <si>
    <t>Exp 331</t>
  </si>
  <si>
    <t>Exp 332</t>
  </si>
  <si>
    <t>Exp 333</t>
  </si>
  <si>
    <t>Exp 334</t>
  </si>
  <si>
    <t>Exp 335</t>
  </si>
  <si>
    <t>Exp 336</t>
  </si>
  <si>
    <t>Exp 337</t>
  </si>
  <si>
    <t>Exp 338</t>
  </si>
  <si>
    <t>Exp 339</t>
  </si>
  <si>
    <t>Exp 340</t>
  </si>
  <si>
    <t>Exp 341</t>
  </si>
  <si>
    <t>Exp 342</t>
  </si>
  <si>
    <t>Exp 343</t>
  </si>
  <si>
    <t>Exp 344</t>
  </si>
  <si>
    <t>Exp 345</t>
  </si>
  <si>
    <t>Exp 346</t>
  </si>
  <si>
    <t>Exp 347</t>
  </si>
  <si>
    <t>Exp 348</t>
  </si>
  <si>
    <t>Exp 349</t>
  </si>
  <si>
    <t>Exp 350</t>
  </si>
  <si>
    <t>Exp 351</t>
  </si>
  <si>
    <t>Exp 352</t>
  </si>
  <si>
    <t>Exp 353</t>
  </si>
  <si>
    <t>Exp 354</t>
  </si>
  <si>
    <t>Exp 355</t>
  </si>
  <si>
    <t>Exp 356</t>
  </si>
  <si>
    <t>Exp 357</t>
  </si>
  <si>
    <t>Exp 358</t>
  </si>
  <si>
    <t>Exp 359</t>
  </si>
  <si>
    <t>Exp 360</t>
  </si>
  <si>
    <t>Exp 361</t>
  </si>
  <si>
    <t>Exp 362</t>
  </si>
  <si>
    <t>Exp 363</t>
  </si>
  <si>
    <t>Exp 364</t>
  </si>
  <si>
    <t>Exp 365</t>
  </si>
  <si>
    <t>Exp 366</t>
  </si>
  <si>
    <t>Exp 367</t>
  </si>
  <si>
    <t>Exp 368</t>
  </si>
  <si>
    <t>Exp 369</t>
  </si>
  <si>
    <t>Exp 370</t>
  </si>
  <si>
    <t>Exp 371</t>
  </si>
  <si>
    <t>Exp 372</t>
  </si>
  <si>
    <t>Exp 373</t>
  </si>
  <si>
    <t>Exp 374</t>
  </si>
  <si>
    <t>Exp 375</t>
  </si>
  <si>
    <t>Exp 376</t>
  </si>
  <si>
    <t>Exp 377</t>
  </si>
  <si>
    <t>Exp 378</t>
  </si>
  <si>
    <t>Exp 379</t>
  </si>
  <si>
    <t>Exp 380</t>
  </si>
  <si>
    <t>Exp 381</t>
  </si>
  <si>
    <t>Exp 382</t>
  </si>
  <si>
    <t>Exp 383</t>
  </si>
  <si>
    <t>Exp 384</t>
  </si>
  <si>
    <t>Exp 385</t>
  </si>
  <si>
    <t>Exp 386</t>
  </si>
  <si>
    <t>Exp 387</t>
  </si>
  <si>
    <t>Exp 388</t>
  </si>
  <si>
    <t>Exp 389</t>
  </si>
  <si>
    <t>Exp 390</t>
  </si>
  <si>
    <t>Exp 391</t>
  </si>
  <si>
    <t>Exp 392</t>
  </si>
  <si>
    <t>Exp 393</t>
  </si>
  <si>
    <t>Exp 394</t>
  </si>
  <si>
    <t>Exp 395</t>
  </si>
  <si>
    <t>Exp 396</t>
  </si>
  <si>
    <t>Exp 397</t>
  </si>
  <si>
    <t>Exp 398</t>
  </si>
  <si>
    <t>Exp 399</t>
  </si>
  <si>
    <t>Exp 400</t>
  </si>
  <si>
    <t>Exp 401</t>
  </si>
  <si>
    <t>Exp 402</t>
  </si>
  <si>
    <t>Exp 403</t>
  </si>
  <si>
    <t>Exp 404</t>
  </si>
  <si>
    <t>Exp 405</t>
  </si>
  <si>
    <t>Exp 406</t>
  </si>
  <si>
    <t>Exp 407</t>
  </si>
  <si>
    <t>Exp 408</t>
  </si>
  <si>
    <t>Exp 409</t>
  </si>
  <si>
    <t>Exp 410</t>
  </si>
  <si>
    <t>Exp 411</t>
  </si>
  <si>
    <t>Exp 412</t>
  </si>
  <si>
    <t>Exp 413</t>
  </si>
  <si>
    <t>Exp 414</t>
  </si>
  <si>
    <t>Exp 415</t>
  </si>
  <si>
    <t>Exp 416</t>
  </si>
  <si>
    <t>Exp 417</t>
  </si>
  <si>
    <t>Exp 418</t>
  </si>
  <si>
    <t>Exp 419</t>
  </si>
  <si>
    <t>Exp 420</t>
  </si>
  <si>
    <t>Exp 421</t>
  </si>
  <si>
    <t>Exp 422</t>
  </si>
  <si>
    <t>Exp 423</t>
  </si>
  <si>
    <t>Exp 424</t>
  </si>
  <si>
    <t>Exp 425</t>
  </si>
  <si>
    <t>Exp 426</t>
  </si>
  <si>
    <t>Exp 427</t>
  </si>
  <si>
    <t>Exp 428</t>
  </si>
  <si>
    <t>Exp 429</t>
  </si>
  <si>
    <t>Exp 430</t>
  </si>
  <si>
    <t>Exp 431</t>
  </si>
  <si>
    <t>Exp 432</t>
  </si>
  <si>
    <t>Exp 433</t>
  </si>
  <si>
    <t>Exp 434</t>
  </si>
  <si>
    <t>Exp 435</t>
  </si>
  <si>
    <t>Exp 436</t>
  </si>
  <si>
    <t>Exp 437</t>
  </si>
  <si>
    <t>Exp 438</t>
  </si>
  <si>
    <t>Exp 439</t>
  </si>
  <si>
    <t>Exp 440</t>
  </si>
  <si>
    <t>Exp 441</t>
  </si>
  <si>
    <t>Exp 442</t>
  </si>
  <si>
    <t>Exp 443</t>
  </si>
  <si>
    <t>Exp 444</t>
  </si>
  <si>
    <t>Exp 445</t>
  </si>
  <si>
    <t>Exp 446</t>
  </si>
  <si>
    <t>Exp 447</t>
  </si>
  <si>
    <t>Exp 448</t>
  </si>
  <si>
    <t>Exp 449</t>
  </si>
  <si>
    <t>Exp 450</t>
  </si>
  <si>
    <t>Exp 451</t>
  </si>
  <si>
    <t>Exp 452</t>
  </si>
  <si>
    <t>Exp 453</t>
  </si>
  <si>
    <t>Exp 454</t>
  </si>
  <si>
    <t>Exp 455</t>
  </si>
  <si>
    <t>Exp 456</t>
  </si>
  <si>
    <t>Exp 457</t>
  </si>
  <si>
    <t>Exp 458</t>
  </si>
  <si>
    <t>Exp 459</t>
  </si>
  <si>
    <t>Exp 460</t>
  </si>
  <si>
    <t>Exp 461</t>
  </si>
  <si>
    <t>Exp 462</t>
  </si>
  <si>
    <t>Exp 463</t>
  </si>
  <si>
    <t>Exp 464</t>
  </si>
  <si>
    <t>Exp 465</t>
  </si>
  <si>
    <t>Exp 466</t>
  </si>
  <si>
    <t>Exp 467</t>
  </si>
  <si>
    <t>Exp 468</t>
  </si>
  <si>
    <t>Exp 469</t>
  </si>
  <si>
    <t>Exp 470</t>
  </si>
  <si>
    <t>Exp 471</t>
  </si>
  <si>
    <t>Exp 472</t>
  </si>
  <si>
    <t>Exp 473</t>
  </si>
  <si>
    <t>Exp 474</t>
  </si>
  <si>
    <t>Exp 475</t>
  </si>
  <si>
    <t>Exp 476</t>
  </si>
  <si>
    <t>Exp 477</t>
  </si>
  <si>
    <t>Exp 478</t>
  </si>
  <si>
    <t>Exp 479</t>
  </si>
  <si>
    <t>Exp 480</t>
  </si>
  <si>
    <t>Exp 481</t>
  </si>
  <si>
    <t>Exp 482</t>
  </si>
  <si>
    <t>Exp 483</t>
  </si>
  <si>
    <t>Exp 484</t>
  </si>
  <si>
    <t>Exp 485</t>
  </si>
  <si>
    <t>Exp 486</t>
  </si>
  <si>
    <t>Exp 487</t>
  </si>
  <si>
    <t>Exp 488</t>
  </si>
  <si>
    <t>Exp 489</t>
  </si>
  <si>
    <t>Exp 490</t>
  </si>
  <si>
    <t>Exp 491</t>
  </si>
  <si>
    <t>Exp 492</t>
  </si>
  <si>
    <t>Exp 493</t>
  </si>
  <si>
    <t>Exp 494</t>
  </si>
  <si>
    <t>Exp 495</t>
  </si>
  <si>
    <t>Exp 496</t>
  </si>
  <si>
    <t>Exp 497</t>
  </si>
  <si>
    <t>Exp 498</t>
  </si>
  <si>
    <t>Exp 499</t>
  </si>
  <si>
    <t>Exp 500</t>
  </si>
  <si>
    <t>Exp 501</t>
  </si>
  <si>
    <t>Exp 502</t>
  </si>
  <si>
    <t>Exp 503</t>
  </si>
  <si>
    <t>Exp 504</t>
  </si>
  <si>
    <t>Exp 505</t>
  </si>
  <si>
    <t>Exp 506</t>
  </si>
  <si>
    <t>Exp 507</t>
  </si>
  <si>
    <t>Exp 508</t>
  </si>
  <si>
    <t>Exp 509</t>
  </si>
  <si>
    <t>Exp 510</t>
  </si>
  <si>
    <t>Exp 511</t>
  </si>
  <si>
    <t>Exp 512</t>
  </si>
  <si>
    <t>Exp 513</t>
  </si>
  <si>
    <t>Exp 514</t>
  </si>
  <si>
    <t>Exp 515</t>
  </si>
  <si>
    <t>Exp 516</t>
  </si>
  <si>
    <t>Exp 517</t>
  </si>
  <si>
    <t>Exp 518</t>
  </si>
  <si>
    <t>Exp 519</t>
  </si>
  <si>
    <t>Exp 520</t>
  </si>
  <si>
    <t>Exp 521</t>
  </si>
  <si>
    <t>Exp 522</t>
  </si>
  <si>
    <t>Exp 523</t>
  </si>
  <si>
    <t>Exp 524</t>
  </si>
  <si>
    <t>Exp 525</t>
  </si>
  <si>
    <t>Exp 526</t>
  </si>
  <si>
    <t>Exp 527</t>
  </si>
  <si>
    <t>Exp 528</t>
  </si>
  <si>
    <t>Exp 529</t>
  </si>
  <si>
    <t>Exp 530</t>
  </si>
  <si>
    <t>Exp 531</t>
  </si>
  <si>
    <t>Exp 532</t>
  </si>
  <si>
    <t>Exp 533</t>
  </si>
  <si>
    <t>Exp 534</t>
  </si>
  <si>
    <t>Exp 535</t>
  </si>
  <si>
    <t>Exp 536</t>
  </si>
  <si>
    <t>Exp 537</t>
  </si>
  <si>
    <t>Exp 538</t>
  </si>
  <si>
    <t>Exp 539</t>
  </si>
  <si>
    <t>Exp 540</t>
  </si>
  <si>
    <t>Exp 541</t>
  </si>
  <si>
    <t>Exp 542</t>
  </si>
  <si>
    <t>Exp 543</t>
  </si>
  <si>
    <t>Exp 544</t>
  </si>
  <si>
    <t>Exp 545</t>
  </si>
  <si>
    <t>Exp 546</t>
  </si>
  <si>
    <t>Exp 547</t>
  </si>
  <si>
    <t>Exp 548</t>
  </si>
  <si>
    <t>Exp 549</t>
  </si>
  <si>
    <t>Exp 550</t>
  </si>
  <si>
    <t>Exp 551</t>
  </si>
  <si>
    <t>Exp 552</t>
  </si>
  <si>
    <t>Exp 553</t>
  </si>
  <si>
    <t>Exp 554</t>
  </si>
  <si>
    <t>Exp 555</t>
  </si>
  <si>
    <t>Exp 556</t>
  </si>
  <si>
    <t>Exp 557</t>
  </si>
  <si>
    <t>Exp 558</t>
  </si>
  <si>
    <t>Exp 559</t>
  </si>
  <si>
    <t>Exp 560</t>
  </si>
  <si>
    <t>Exp 561</t>
  </si>
  <si>
    <t>Exp 562</t>
  </si>
  <si>
    <t>Exp 563</t>
  </si>
  <si>
    <t>Exp 564</t>
  </si>
  <si>
    <t>Exp 565</t>
  </si>
  <si>
    <t>Exp 566</t>
  </si>
  <si>
    <t>Exp 567</t>
  </si>
  <si>
    <t>Exp 568</t>
  </si>
  <si>
    <t>pure water</t>
    <phoneticPr fontId="3" type="noConversion"/>
  </si>
  <si>
    <t>90% water + 10% glycerin</t>
  </si>
  <si>
    <t>90% water + 10% glycerin</t>
    <phoneticPr fontId="3" type="noConversion"/>
  </si>
  <si>
    <t>50% water + 50% glycerin</t>
    <phoneticPr fontId="3" type="noConversion"/>
  </si>
  <si>
    <t>70% water + 30% glycerin</t>
  </si>
  <si>
    <t>70% water + 30% glycerin</t>
    <phoneticPr fontId="3" type="noConversion"/>
  </si>
  <si>
    <t>30% water + 70% glycerin</t>
  </si>
  <si>
    <t>30% water + 70% glycerin</t>
    <phoneticPr fontId="3" type="noConversion"/>
  </si>
  <si>
    <t>10% water + 90% glycerin</t>
  </si>
  <si>
    <t>10% water + 90% glycerin</t>
    <phoneticPr fontId="3" type="noConversion"/>
  </si>
  <si>
    <t>5% water + 95% glycerin</t>
  </si>
  <si>
    <t>5% water + 95% glycerin</t>
    <phoneticPr fontId="3" type="noConversion"/>
  </si>
  <si>
    <t>pure ethanol</t>
    <phoneticPr fontId="3" type="noConversion"/>
  </si>
  <si>
    <t>pure glycerin</t>
    <phoneticPr fontId="3" type="noConversion"/>
  </si>
  <si>
    <t>5% water + 95% ethanol</t>
  </si>
  <si>
    <t>5% water + 95% ethanol</t>
    <phoneticPr fontId="3" type="noConversion"/>
  </si>
  <si>
    <t>10% water + 90% ethanol</t>
  </si>
  <si>
    <t>10% water + 90% ethanol</t>
    <phoneticPr fontId="3" type="noConversion"/>
  </si>
  <si>
    <t>30% water + 70% ethanol</t>
  </si>
  <si>
    <t>30% water + 70% ethanol</t>
    <phoneticPr fontId="3" type="noConversion"/>
  </si>
  <si>
    <t>50% water + 50% ethanol</t>
  </si>
  <si>
    <t>50% water + 50% ethanol</t>
    <phoneticPr fontId="3" type="noConversion"/>
  </si>
  <si>
    <t>70% water + 30% ethanol</t>
  </si>
  <si>
    <t>70% water + 30% ethanol</t>
    <phoneticPr fontId="3" type="noConversion"/>
  </si>
  <si>
    <t>90% water + 10% ethanol</t>
  </si>
  <si>
    <t>90% water + 10% ethanol</t>
    <phoneticPr fontId="3" type="noConversion"/>
  </si>
  <si>
    <t>silicone oil 5cSt</t>
  </si>
  <si>
    <t>silicone oil 5cSt</t>
    <phoneticPr fontId="3" type="noConversion"/>
  </si>
  <si>
    <t>silicone oil 2cSt</t>
  </si>
  <si>
    <t>silicone oil 2cSt</t>
    <phoneticPr fontId="3" type="noConversion"/>
  </si>
  <si>
    <t>Surface tension (mN/m)</t>
    <phoneticPr fontId="3" type="noConversion"/>
  </si>
  <si>
    <t>Reynolds Number</t>
    <phoneticPr fontId="3" type="noConversion"/>
  </si>
  <si>
    <t>Weber number</t>
    <phoneticPr fontId="3" type="noConversion"/>
  </si>
  <si>
    <t>Oh</t>
  </si>
  <si>
    <t>Silicon oil 20 cSt</t>
  </si>
  <si>
    <t>Silicon oil 5 cSt</t>
  </si>
  <si>
    <t>Silicon oil 2 cSt</t>
  </si>
  <si>
    <t>Silicon</t>
  </si>
  <si>
    <t>N m</t>
  </si>
  <si>
    <t>Pa s</t>
  </si>
  <si>
    <t>kg/m^3</t>
  </si>
  <si>
    <t>Glycerine/water percentage, %</t>
  </si>
  <si>
    <t>surface tension</t>
  </si>
  <si>
    <t>viscosity</t>
  </si>
  <si>
    <t>density</t>
  </si>
  <si>
    <t>units</t>
  </si>
  <si>
    <t>Jingtao's</t>
  </si>
  <si>
    <t>reference</t>
  </si>
  <si>
    <t>combined</t>
  </si>
  <si>
    <t>water and 
glycerin</t>
  </si>
  <si>
    <t>outer diameter (mm)</t>
    <phoneticPr fontId="1" type="noConversion"/>
  </si>
  <si>
    <t>droplet length (L1,mm)</t>
    <phoneticPr fontId="1" type="noConversion"/>
  </si>
  <si>
    <t>droplet width (L2,mm)</t>
    <phoneticPr fontId="1" type="noConversion"/>
  </si>
  <si>
    <t>Ratio (L2/L1)</t>
    <phoneticPr fontId="1" type="noConversion"/>
  </si>
  <si>
    <t xml:space="preserve">Hamiliton,1750, TMX 1280×800，50000fps, Exposure 19μs </t>
  </si>
  <si>
    <t>Ratio (L2/D)</t>
  </si>
  <si>
    <t>Exp 569</t>
  </si>
  <si>
    <t>Exp 570</t>
  </si>
  <si>
    <t>Exp 571</t>
  </si>
  <si>
    <t>Exp 572</t>
  </si>
  <si>
    <t>Exp 573</t>
  </si>
  <si>
    <t>Exp 574</t>
  </si>
  <si>
    <t>Exp 575</t>
  </si>
  <si>
    <t>Exp 576</t>
  </si>
  <si>
    <t>Exp 577</t>
  </si>
  <si>
    <t>Exp 578</t>
  </si>
  <si>
    <t>Exp 579</t>
  </si>
  <si>
    <t>Exp 580</t>
  </si>
  <si>
    <t>Exp 581</t>
  </si>
  <si>
    <t>Exp 582</t>
  </si>
  <si>
    <t>Exp 583</t>
  </si>
  <si>
    <t>Exp 584</t>
  </si>
  <si>
    <t>Exp 585</t>
  </si>
  <si>
    <t>Exp 586</t>
  </si>
  <si>
    <t>Exp 587</t>
  </si>
  <si>
    <t>Exp 588</t>
  </si>
  <si>
    <t>Exp 589</t>
  </si>
  <si>
    <t>Exp 590</t>
  </si>
  <si>
    <t>Exp 591</t>
  </si>
  <si>
    <t>Exp 592</t>
  </si>
  <si>
    <t>Exp 593</t>
  </si>
  <si>
    <t>Exp 594</t>
  </si>
  <si>
    <t>Exp 595</t>
  </si>
  <si>
    <t>Exp 596</t>
  </si>
  <si>
    <t>Exp 597</t>
  </si>
  <si>
    <t>Exp 598</t>
  </si>
  <si>
    <t>Exp 599</t>
  </si>
  <si>
    <t>Exp 600</t>
  </si>
  <si>
    <t>Exp 601</t>
  </si>
  <si>
    <t>Exp 602</t>
  </si>
  <si>
    <t>Exp 603</t>
  </si>
  <si>
    <t>Exp 604</t>
  </si>
  <si>
    <t>Exp 605</t>
  </si>
  <si>
    <t>20% water + 80% glycerin</t>
  </si>
  <si>
    <t>40% water + 60% glycerin</t>
  </si>
  <si>
    <t>40% water + 60% glycerin</t>
    <phoneticPr fontId="3" type="noConversion"/>
  </si>
  <si>
    <t>Exp 606</t>
  </si>
  <si>
    <t>Exp 607</t>
  </si>
  <si>
    <t>Exp 608</t>
  </si>
  <si>
    <t>Exp 609</t>
  </si>
  <si>
    <t>Exp 610</t>
  </si>
  <si>
    <t>Exp 611</t>
  </si>
  <si>
    <t>Exp 612</t>
  </si>
  <si>
    <t>Exp 613</t>
  </si>
  <si>
    <t>Exp 614</t>
  </si>
  <si>
    <t>Exp 615</t>
  </si>
  <si>
    <t>Exp 616</t>
  </si>
  <si>
    <t>Exp 617</t>
  </si>
  <si>
    <t>Exp 618</t>
  </si>
  <si>
    <t>Exp 619</t>
  </si>
  <si>
    <t>Exp 620</t>
  </si>
  <si>
    <t>Exp 621</t>
  </si>
  <si>
    <t>Exp 622</t>
  </si>
  <si>
    <t>Exp 623</t>
  </si>
  <si>
    <t>Exp 624</t>
  </si>
  <si>
    <t>Exp 625</t>
  </si>
  <si>
    <t>Exp 626</t>
  </si>
  <si>
    <t>Exp 627</t>
  </si>
  <si>
    <t>Exp 628</t>
  </si>
  <si>
    <t>Exp 629</t>
  </si>
  <si>
    <t>Exp 630</t>
  </si>
  <si>
    <t>Exp 631</t>
  </si>
  <si>
    <t>Exp 632</t>
  </si>
  <si>
    <t>Exp 633</t>
  </si>
  <si>
    <t>Exp 634</t>
  </si>
  <si>
    <t>Exp 635</t>
  </si>
  <si>
    <t>Exp 636</t>
  </si>
  <si>
    <t>Exp 637</t>
  </si>
  <si>
    <t>Exp 638</t>
  </si>
  <si>
    <t>Exp 639</t>
  </si>
  <si>
    <t>Exp 640</t>
  </si>
  <si>
    <t>Exp 641</t>
  </si>
  <si>
    <t>Exp 642</t>
  </si>
  <si>
    <t>Exp 643</t>
  </si>
  <si>
    <t>Exp 644</t>
  </si>
  <si>
    <t>Exp 645</t>
  </si>
  <si>
    <t>Exp 646</t>
  </si>
  <si>
    <t>Exp 647</t>
  </si>
  <si>
    <t>Exp 648</t>
  </si>
  <si>
    <t>Exp 649</t>
  </si>
  <si>
    <t>Exp 650</t>
  </si>
  <si>
    <t>Exp 651</t>
  </si>
  <si>
    <t>Exp 652</t>
  </si>
  <si>
    <t>Exp 653</t>
  </si>
  <si>
    <t>Exp 654</t>
  </si>
  <si>
    <t>Exp 655</t>
  </si>
  <si>
    <t>Exp 656</t>
  </si>
  <si>
    <t>Exp 657</t>
  </si>
  <si>
    <t>Exp 658</t>
  </si>
  <si>
    <t>Exp 659</t>
  </si>
  <si>
    <t>Exp 660</t>
  </si>
  <si>
    <t>Exp 661</t>
  </si>
  <si>
    <t>Exp 662</t>
  </si>
  <si>
    <t>Exp 663</t>
  </si>
  <si>
    <t>Exp 664</t>
  </si>
  <si>
    <t>Exp 665</t>
  </si>
  <si>
    <t>Exp 666</t>
  </si>
  <si>
    <t>Exp 667</t>
  </si>
  <si>
    <t>Exp 668</t>
  </si>
  <si>
    <t>Exp 669</t>
  </si>
  <si>
    <t>Exp 670</t>
  </si>
  <si>
    <t>Exp 671</t>
  </si>
  <si>
    <t>Exp 672</t>
  </si>
  <si>
    <t>Exp 673</t>
  </si>
  <si>
    <t>Exp 674</t>
  </si>
  <si>
    <t>Exp 675</t>
  </si>
  <si>
    <t>Exp 676</t>
  </si>
  <si>
    <t xml:space="preserve">Nozzle inner diameter (mm)
</t>
    <phoneticPr fontId="3" type="noConversion"/>
  </si>
  <si>
    <t>20% water + 80% glycerin</t>
    <phoneticPr fontId="3" type="noConversion"/>
  </si>
  <si>
    <t>1000cSt</t>
    <phoneticPr fontId="3" type="noConversion"/>
  </si>
  <si>
    <t>50cSt</t>
    <phoneticPr fontId="3" type="noConversion"/>
  </si>
  <si>
    <t xml:space="preserve">silicone oil </t>
    <phoneticPr fontId="3" type="noConversion"/>
  </si>
  <si>
    <t>density</t>
    <phoneticPr fontId="3" type="noConversion"/>
  </si>
  <si>
    <t>viscosity</t>
    <phoneticPr fontId="3" type="noConversion"/>
  </si>
  <si>
    <t>surface tension</t>
    <phoneticPr fontId="3" type="noConversion"/>
  </si>
  <si>
    <t>350cSt</t>
    <phoneticPr fontId="3" type="noConversion"/>
  </si>
  <si>
    <t>Exp 677</t>
    <phoneticPr fontId="3" type="noConversion"/>
  </si>
  <si>
    <t>Exp 678</t>
    <phoneticPr fontId="3" type="noConversion"/>
  </si>
  <si>
    <t>Exp 679</t>
  </si>
  <si>
    <t>Exp 680</t>
  </si>
  <si>
    <t>Exp 681</t>
  </si>
  <si>
    <t>Exp 682</t>
  </si>
  <si>
    <t>Exp 683</t>
  </si>
  <si>
    <t>Exp 684</t>
  </si>
  <si>
    <t>Exp 685</t>
  </si>
  <si>
    <t>Exp 686</t>
  </si>
  <si>
    <t>Exp 687</t>
  </si>
  <si>
    <t>Exp 688</t>
  </si>
  <si>
    <t>Exp 689</t>
  </si>
  <si>
    <t>Exp 690</t>
  </si>
  <si>
    <t>Exp 691</t>
  </si>
  <si>
    <t>Exp 692</t>
  </si>
  <si>
    <t>Exp 693</t>
  </si>
  <si>
    <t>Exp 694</t>
  </si>
  <si>
    <t>Exp 695</t>
  </si>
  <si>
    <t>Exp 696</t>
  </si>
  <si>
    <t>Exp 697</t>
  </si>
  <si>
    <t>Exp 698</t>
  </si>
  <si>
    <t>Exp 699</t>
  </si>
  <si>
    <t>Exp 700</t>
  </si>
  <si>
    <t>Exp 701</t>
  </si>
  <si>
    <t>Exp 702</t>
  </si>
  <si>
    <t>Exp 703</t>
  </si>
  <si>
    <t>Exp 704</t>
  </si>
  <si>
    <t>Exp 705</t>
  </si>
  <si>
    <t>Exp 706</t>
  </si>
  <si>
    <t>Exp 707</t>
  </si>
  <si>
    <t>Exp 708</t>
  </si>
  <si>
    <t>Exp 709</t>
  </si>
  <si>
    <t>Exp 710</t>
  </si>
  <si>
    <t>Exp 711</t>
  </si>
  <si>
    <t>Exp 712</t>
  </si>
  <si>
    <t>Exp 713</t>
  </si>
  <si>
    <t>Exp 714</t>
  </si>
  <si>
    <t>Exp 715</t>
  </si>
  <si>
    <t>Exp 716</t>
  </si>
  <si>
    <t>Exp 717</t>
  </si>
  <si>
    <t>Exp 718</t>
  </si>
  <si>
    <t>Exp 719</t>
  </si>
  <si>
    <t>Exp 720</t>
  </si>
  <si>
    <t>Exp 721</t>
  </si>
  <si>
    <t>Exp 722</t>
  </si>
  <si>
    <t>Exp 723</t>
  </si>
  <si>
    <t>Exp 724</t>
  </si>
  <si>
    <t>Exp 725</t>
  </si>
  <si>
    <t>Exp 726</t>
  </si>
  <si>
    <t>Exp 727</t>
  </si>
  <si>
    <t>Exp 728</t>
  </si>
  <si>
    <t>Exp 729</t>
  </si>
  <si>
    <t>Exp 730</t>
  </si>
  <si>
    <t>Exp 731</t>
  </si>
  <si>
    <t>Exp 732</t>
  </si>
  <si>
    <t>Exp 733</t>
  </si>
  <si>
    <t>Exp 734</t>
  </si>
  <si>
    <t>Exp 735</t>
  </si>
  <si>
    <t>Exp 736</t>
  </si>
  <si>
    <t>Exp 737</t>
  </si>
  <si>
    <t>Exp 738</t>
  </si>
  <si>
    <t>Exp 739</t>
  </si>
  <si>
    <t>Exp 740</t>
  </si>
  <si>
    <t>Exp 741</t>
  </si>
  <si>
    <t>Exp 742</t>
  </si>
  <si>
    <t>Exp 743</t>
  </si>
  <si>
    <t>Exp 744</t>
  </si>
  <si>
    <t>Exp 745</t>
  </si>
  <si>
    <t>Exp 746</t>
  </si>
  <si>
    <t>Exp 747</t>
  </si>
  <si>
    <t>Exp 748</t>
  </si>
  <si>
    <t>silicone oil 50cSt</t>
  </si>
  <si>
    <t>silicone oil 50cSt</t>
    <phoneticPr fontId="3" type="noConversion"/>
  </si>
  <si>
    <t>silicone oil 350cSt</t>
  </si>
  <si>
    <t>silicone oil 350cSt</t>
    <phoneticPr fontId="3" type="noConversion"/>
  </si>
  <si>
    <t>Exp 749</t>
  </si>
  <si>
    <t>Exp 750</t>
  </si>
  <si>
    <t>Exp 751</t>
  </si>
  <si>
    <t>Exp 752</t>
  </si>
  <si>
    <t>Exp 753</t>
  </si>
  <si>
    <t>Exp 754</t>
  </si>
  <si>
    <t>Exp 755</t>
  </si>
  <si>
    <t>Exp 756</t>
  </si>
  <si>
    <t>Exp 757</t>
  </si>
  <si>
    <t>Exp 758</t>
  </si>
  <si>
    <t>Exp 759</t>
  </si>
  <si>
    <t>Exp 760</t>
  </si>
  <si>
    <t>Exp 761</t>
  </si>
  <si>
    <t>Exp 762</t>
  </si>
  <si>
    <t>Exp 763</t>
  </si>
  <si>
    <t>Exp 764</t>
  </si>
  <si>
    <t>Exp 765</t>
  </si>
  <si>
    <t>Exp 766</t>
  </si>
  <si>
    <t>Exp 767</t>
  </si>
  <si>
    <t>Exp 768</t>
  </si>
  <si>
    <t>Exp 769</t>
  </si>
  <si>
    <t>Exp 770</t>
  </si>
  <si>
    <t>Exp 771</t>
  </si>
  <si>
    <t>Exp 772</t>
  </si>
  <si>
    <t>Exp 773</t>
  </si>
  <si>
    <t>Exp 774</t>
  </si>
  <si>
    <t>Exp 775</t>
  </si>
  <si>
    <t>Exp 776</t>
  </si>
  <si>
    <t>Exp 777</t>
  </si>
  <si>
    <t>Exp 778</t>
  </si>
  <si>
    <t>Exp 779</t>
  </si>
  <si>
    <t>Exp 780</t>
  </si>
  <si>
    <t>Exp 781</t>
  </si>
  <si>
    <t>Exp 782</t>
  </si>
  <si>
    <t>Exp 783</t>
  </si>
  <si>
    <t>Exp 784</t>
  </si>
  <si>
    <t>Exp 785</t>
  </si>
  <si>
    <t>Exp 786</t>
  </si>
  <si>
    <t>Exp 787</t>
  </si>
  <si>
    <t>Exp 788</t>
  </si>
  <si>
    <t>Exp 789</t>
  </si>
  <si>
    <t>Exp 790</t>
  </si>
  <si>
    <t>Exp 791</t>
  </si>
  <si>
    <t>Exp 792</t>
  </si>
  <si>
    <t>Exp 793</t>
  </si>
  <si>
    <t>Exp 794</t>
  </si>
  <si>
    <t>Exp 795</t>
  </si>
  <si>
    <t>Exp 796</t>
  </si>
  <si>
    <t>Exp 797</t>
  </si>
  <si>
    <t>Exp 798</t>
  </si>
  <si>
    <t>Exp 799</t>
  </si>
  <si>
    <t>Exp 800</t>
  </si>
  <si>
    <t>Exp 801</t>
  </si>
  <si>
    <t>Exp 802</t>
  </si>
  <si>
    <t>Exp 803</t>
  </si>
  <si>
    <t>Exp 804</t>
  </si>
  <si>
    <t>Exp 805</t>
  </si>
  <si>
    <t>Exp 806</t>
  </si>
  <si>
    <t>Exp 807</t>
  </si>
  <si>
    <t>Exp 808</t>
  </si>
  <si>
    <t>Exp 809</t>
  </si>
  <si>
    <t>Exp 810</t>
  </si>
  <si>
    <t>Exp 811</t>
  </si>
  <si>
    <t>Exp 812</t>
  </si>
  <si>
    <t>Exp 813</t>
  </si>
  <si>
    <t>Exp 814</t>
  </si>
  <si>
    <t>Exp 815</t>
  </si>
  <si>
    <t>Exp 816</t>
  </si>
  <si>
    <t>Exp 817</t>
  </si>
  <si>
    <t>Exp 818</t>
  </si>
  <si>
    <t>Exp 819</t>
  </si>
  <si>
    <t>Exp 820</t>
  </si>
  <si>
    <t>Exp 821</t>
  </si>
  <si>
    <t>Exp 822</t>
  </si>
  <si>
    <t>Exp 823</t>
  </si>
  <si>
    <t>Exp 824</t>
  </si>
  <si>
    <t>Exp 825</t>
  </si>
  <si>
    <t>Exp 826</t>
  </si>
  <si>
    <t>Exp 827</t>
  </si>
  <si>
    <t>Exp 828</t>
  </si>
  <si>
    <t>Exp 829</t>
  </si>
  <si>
    <t>Exp 830</t>
  </si>
  <si>
    <t>Exp 831</t>
  </si>
  <si>
    <t>Exp 832</t>
  </si>
  <si>
    <t>Exp 833</t>
  </si>
  <si>
    <t>Exp 834</t>
  </si>
  <si>
    <t>Exp 835</t>
  </si>
  <si>
    <t>Exp 836</t>
  </si>
  <si>
    <t>Exp 837</t>
  </si>
  <si>
    <t>Exp 838</t>
  </si>
  <si>
    <t>Exp 839</t>
  </si>
  <si>
    <t>Exp 840</t>
  </si>
  <si>
    <t>Exp 841</t>
  </si>
  <si>
    <t>Exp 842</t>
  </si>
  <si>
    <t>Exp 843</t>
  </si>
  <si>
    <t>Exp 844</t>
  </si>
  <si>
    <t>Exp 845</t>
  </si>
  <si>
    <t>Exp 846</t>
  </si>
  <si>
    <t>Exp 847</t>
  </si>
  <si>
    <t>Exp 848</t>
  </si>
  <si>
    <t>Exp 849</t>
  </si>
  <si>
    <t>Exp 850</t>
  </si>
  <si>
    <t>Exp 851</t>
  </si>
  <si>
    <t>Exp 852</t>
  </si>
  <si>
    <t>Exp 853</t>
  </si>
  <si>
    <t>Exp 854</t>
  </si>
  <si>
    <t>Exp 855</t>
  </si>
  <si>
    <t>Exp 856</t>
  </si>
  <si>
    <t>methanol</t>
    <phoneticPr fontId="3" type="noConversion"/>
  </si>
  <si>
    <t>80% water + 20% ethanol</t>
  </si>
  <si>
    <t>80% water + 20% ethanol</t>
    <phoneticPr fontId="3" type="noConversion"/>
  </si>
  <si>
    <t>Exp 857</t>
  </si>
  <si>
    <t>Exp 858</t>
  </si>
  <si>
    <t>Exp 859</t>
  </si>
  <si>
    <t>Exp 860</t>
  </si>
  <si>
    <t>Exp 861</t>
  </si>
  <si>
    <t>Exp 862</t>
  </si>
  <si>
    <t>Exp 863</t>
  </si>
  <si>
    <t>Exp 864</t>
  </si>
  <si>
    <t>silicone oil 1000cSt</t>
  </si>
  <si>
    <t>silicone oil 1000cSt</t>
    <phoneticPr fontId="3" type="noConversion"/>
  </si>
  <si>
    <t>Exp 865</t>
  </si>
  <si>
    <t>Exp 866</t>
  </si>
  <si>
    <t>Exp 867</t>
  </si>
  <si>
    <t>Exp 868</t>
  </si>
  <si>
    <t>Exp 869</t>
  </si>
  <si>
    <t>Exp 870</t>
  </si>
  <si>
    <t>Exp 871</t>
  </si>
  <si>
    <t>Exp 872</t>
  </si>
  <si>
    <t>Exp 873</t>
  </si>
  <si>
    <t>Exp 874</t>
  </si>
  <si>
    <t>Exp 875</t>
  </si>
  <si>
    <t>Exp 876</t>
  </si>
  <si>
    <t>Exp 877</t>
  </si>
  <si>
    <t>Exp 878</t>
  </si>
  <si>
    <t>Exp 879</t>
  </si>
  <si>
    <t>Exp 880</t>
  </si>
  <si>
    <t>Exp 881</t>
  </si>
  <si>
    <t>Exp 882</t>
  </si>
  <si>
    <t>Exp 883</t>
  </si>
  <si>
    <t>Exp 884</t>
  </si>
  <si>
    <t>Exp 885</t>
  </si>
  <si>
    <t>Exp 886</t>
  </si>
  <si>
    <t>Exp 887</t>
  </si>
  <si>
    <t>Exp 888</t>
  </si>
  <si>
    <t>Exp 889</t>
  </si>
  <si>
    <t>Exp 890</t>
  </si>
  <si>
    <t>Exp 891</t>
  </si>
  <si>
    <t>Exp 892</t>
  </si>
  <si>
    <t>Exp 893</t>
  </si>
  <si>
    <t>Exp 894</t>
  </si>
  <si>
    <t>Exp 895</t>
  </si>
  <si>
    <t>Exp 896</t>
  </si>
  <si>
    <t>Exp 897</t>
  </si>
  <si>
    <t>Exp 898</t>
  </si>
  <si>
    <t>Exp 899</t>
  </si>
  <si>
    <t>Exp 900</t>
  </si>
  <si>
    <t>Exp 901</t>
  </si>
  <si>
    <t>Exp 902</t>
  </si>
  <si>
    <t>Exp 903</t>
  </si>
  <si>
    <t>Exp 904</t>
  </si>
  <si>
    <t>Exp 905</t>
  </si>
  <si>
    <t>Exp 906</t>
  </si>
  <si>
    <t>Exp 907</t>
  </si>
  <si>
    <t>Exp 908</t>
  </si>
  <si>
    <t>Exp 909</t>
  </si>
  <si>
    <t>Exp 910</t>
  </si>
  <si>
    <t>Exp 911</t>
  </si>
  <si>
    <t>Exp 912</t>
  </si>
  <si>
    <t>Exp 913</t>
  </si>
  <si>
    <t>Exp 914</t>
  </si>
  <si>
    <t>Exp 915</t>
  </si>
  <si>
    <t>Exp 916</t>
  </si>
  <si>
    <t>Exp 917</t>
  </si>
  <si>
    <t>Exp 918</t>
  </si>
  <si>
    <t>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</si>
</sst>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17">
    <font>
      <sz val="11"/>
      <color theme="1"/>
      <name val="Calibri"/>
      <family val="2"/>
      <charset val="134"/>
      <scheme val="minor"/>
    </font>
    <font>
      <sz val="12"/>
      <name val="Aptos Narrow"/>
    </font>
    <font>
      <sz val="12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sz val="12"/>
      <color theme="1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charset val="134"/>
      <scheme val="minor"/>
    </font>
    <font>
      <sz val="11"/>
      <color rgb="FF000000"/>
      <name val="Noto Sans SC"/>
      <family val="2"/>
      <charset val="134"/>
    </font>
    <font>
      <b/>
      <sz val="11"/>
      <name val="Calibri"/>
      <family val="2"/>
      <scheme val="minor"/>
    </font>
    <font>
      <b/>
      <sz val="11"/>
      <name val="Calibri"/>
      <family val="3"/>
      <charset val="134"/>
      <scheme val="minor"/>
    </font>
    <font>
      <sz val="11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6" fillId="0" borderId="0"/>
    <xf numFmtId="0" fontId="7" fillId="0" borderId="0"/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>
      <alignment vertical="center"/>
    </xf>
    <xf numFmtId="0" fontId="5" fillId="0" borderId="0" xfId="0" applyFont="1">
      <alignment vertical="center"/>
    </xf>
    <xf numFmtId="164" fontId="0" fillId="0" borderId="0" xfId="0" applyNumberFormat="1">
      <alignment vertical="center"/>
    </xf>
    <xf numFmtId="0" fontId="5" fillId="0" borderId="0" xfId="0" applyFont="1" applyAlignment="1">
      <alignment vertical="center" wrapText="1"/>
    </xf>
    <xf numFmtId="0" fontId="6" fillId="0" borderId="0" xfId="1"/>
    <xf numFmtId="0" fontId="8" fillId="0" borderId="0" xfId="2" applyFont="1" applyAlignment="1">
      <alignment horizontal="center" wrapText="1"/>
    </xf>
    <xf numFmtId="0" fontId="9" fillId="0" borderId="0" xfId="2" applyFont="1"/>
    <xf numFmtId="0" fontId="2" fillId="0" borderId="0" xfId="1" applyFont="1"/>
    <xf numFmtId="0" fontId="9" fillId="0" borderId="0" xfId="2" applyFont="1" applyAlignment="1">
      <alignment horizontal="center"/>
    </xf>
    <xf numFmtId="0" fontId="9" fillId="0" borderId="0" xfId="2" applyFont="1" applyAlignment="1">
      <alignment wrapText="1"/>
    </xf>
    <xf numFmtId="0" fontId="9" fillId="2" borderId="0" xfId="2" applyFont="1" applyFill="1"/>
    <xf numFmtId="0" fontId="7" fillId="0" borderId="0" xfId="2"/>
    <xf numFmtId="0" fontId="0" fillId="0" borderId="0" xfId="0" applyAlignment="1">
      <alignment horizontal="right" vertical="center"/>
    </xf>
    <xf numFmtId="164" fontId="5" fillId="0" borderId="0" xfId="0" applyNumberFormat="1" applyFont="1" applyAlignment="1">
      <alignment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 vertical="center"/>
    </xf>
    <xf numFmtId="2" fontId="5" fillId="0" borderId="0" xfId="0" applyNumberFormat="1" applyFont="1" applyAlignment="1">
      <alignment vertical="center" wrapText="1"/>
    </xf>
    <xf numFmtId="2" fontId="0" fillId="0" borderId="0" xfId="0" applyNumberFormat="1">
      <alignment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164" fontId="11" fillId="0" borderId="0" xfId="0" applyNumberFormat="1" applyFont="1">
      <alignment vertical="center"/>
    </xf>
    <xf numFmtId="165" fontId="11" fillId="0" borderId="0" xfId="0" applyNumberFormat="1" applyFont="1">
      <alignment vertical="center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1" fillId="3" borderId="0" xfId="0" applyFont="1" applyFill="1">
      <alignment vertical="center"/>
    </xf>
    <xf numFmtId="0" fontId="11" fillId="3" borderId="0" xfId="0" applyFont="1" applyFill="1" applyAlignment="1">
      <alignment horizontal="right" vertical="center"/>
    </xf>
    <xf numFmtId="165" fontId="15" fillId="0" borderId="0" xfId="0" applyNumberFormat="1" applyFont="1">
      <alignment vertical="center"/>
    </xf>
    <xf numFmtId="165" fontId="11" fillId="3" borderId="0" xfId="0" applyNumberFormat="1" applyFont="1" applyFill="1">
      <alignment vertical="center"/>
    </xf>
    <xf numFmtId="0" fontId="12" fillId="3" borderId="0" xfId="0" applyFont="1" applyFill="1">
      <alignment vertical="center"/>
    </xf>
    <xf numFmtId="0" fontId="16" fillId="0" borderId="0" xfId="0" applyFont="1">
      <alignment vertical="center"/>
    </xf>
    <xf numFmtId="164" fontId="15" fillId="0" borderId="0" xfId="0" applyNumberFormat="1" applyFont="1">
      <alignment vertical="center"/>
    </xf>
    <xf numFmtId="164" fontId="11" fillId="3" borderId="0" xfId="0" applyNumberFormat="1" applyFont="1" applyFill="1">
      <alignment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right" vertical="center"/>
    </xf>
    <xf numFmtId="0" fontId="12" fillId="4" borderId="0" xfId="0" applyFont="1" applyFill="1">
      <alignment vertical="center"/>
    </xf>
    <xf numFmtId="0" fontId="11" fillId="4" borderId="0" xfId="0" applyFont="1" applyFill="1">
      <alignment vertical="center"/>
    </xf>
    <xf numFmtId="164" fontId="11" fillId="4" borderId="0" xfId="0" applyNumberFormat="1" applyFont="1" applyFill="1">
      <alignment vertical="center"/>
    </xf>
    <xf numFmtId="165" fontId="11" fillId="4" borderId="0" xfId="0" applyNumberFormat="1" applyFont="1" applyFill="1">
      <alignment vertical="center"/>
    </xf>
    <xf numFmtId="164" fontId="0" fillId="4" borderId="0" xfId="0" applyNumberFormat="1" applyFill="1">
      <alignment vertical="center"/>
    </xf>
    <xf numFmtId="2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0" fillId="0" borderId="0" xfId="0">
      <alignment vertical="center"/>
    </xf>
  </cellXfs>
  <cellStyles count="3">
    <cellStyle name="Normal" xfId="0" builtinId="0"/>
    <cellStyle name="Normal 2" xfId="1" xr:uid="{2034C12C-BE8C-D448-B40A-4CC1B5848AE0}"/>
    <cellStyle name="Normal 2 2" xfId="2" xr:uid="{A1C7303D-1D9C-D047-B3BA-5028CAC22150}"/>
  </cellStyles>
  <dxfs count="0"/>
  <tableStyles count="0" defaultTableStyle="TableStyleMedium2" defaultPivotStyle="PivotStyleLight16"/>
  <colors>
    <mruColors>
      <color rgb="FFE71204"/>
      <color rgb="FFA30903"/>
      <color rgb="FFA00029"/>
      <color rgb="FFFF0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5" Type="http://schemas.openxmlformats.org/officeDocument/2006/relationships/chartsheet" Target="chart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479112154544025E-2"/>
          <c:y val="3.1370190645129206E-2"/>
          <c:w val="0.70695314459414182"/>
          <c:h val="0.86298208819749689"/>
        </c:manualLayout>
      </c:layout>
      <c:scatterChart>
        <c:scatterStyle val="lineMarker"/>
        <c:varyColors val="0"/>
        <c:ser>
          <c:idx val="2"/>
          <c:order val="0"/>
          <c:tx>
            <c:v>water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data!$H$31:$H$56</c:f>
              <c:numCache>
                <c:formatCode>0.000</c:formatCode>
                <c:ptCount val="26"/>
                <c:pt idx="0">
                  <c:v>15.489532174393707</c:v>
                </c:pt>
                <c:pt idx="1">
                  <c:v>15.489532174393707</c:v>
                </c:pt>
                <c:pt idx="2">
                  <c:v>7.7447660871968536</c:v>
                </c:pt>
                <c:pt idx="3">
                  <c:v>7.7447660871968536</c:v>
                </c:pt>
                <c:pt idx="4">
                  <c:v>3.8723830435984268</c:v>
                </c:pt>
                <c:pt idx="5">
                  <c:v>3.8723830435984268</c:v>
                </c:pt>
                <c:pt idx="6">
                  <c:v>1.548953217439371</c:v>
                </c:pt>
                <c:pt idx="7">
                  <c:v>1.548953217439371</c:v>
                </c:pt>
                <c:pt idx="8">
                  <c:v>11.61714913079528</c:v>
                </c:pt>
                <c:pt idx="9">
                  <c:v>11.61714913079528</c:v>
                </c:pt>
                <c:pt idx="10">
                  <c:v>19.175294348421126</c:v>
                </c:pt>
                <c:pt idx="11">
                  <c:v>19.175294348421126</c:v>
                </c:pt>
                <c:pt idx="12">
                  <c:v>25.56705913122817</c:v>
                </c:pt>
                <c:pt idx="13">
                  <c:v>12.783529565614085</c:v>
                </c:pt>
                <c:pt idx="14">
                  <c:v>6.3917647828070425</c:v>
                </c:pt>
                <c:pt idx="15">
                  <c:v>2.5567059131228169</c:v>
                </c:pt>
                <c:pt idx="16">
                  <c:v>84.88263631567753</c:v>
                </c:pt>
                <c:pt idx="17">
                  <c:v>42.441318157838765</c:v>
                </c:pt>
                <c:pt idx="18">
                  <c:v>63.661977236758148</c:v>
                </c:pt>
                <c:pt idx="19">
                  <c:v>21.220659078919383</c:v>
                </c:pt>
                <c:pt idx="20">
                  <c:v>8.4882636315677527</c:v>
                </c:pt>
                <c:pt idx="21">
                  <c:v>212.2065907891938</c:v>
                </c:pt>
                <c:pt idx="22">
                  <c:v>159.15494309189535</c:v>
                </c:pt>
                <c:pt idx="23">
                  <c:v>106.1032953945969</c:v>
                </c:pt>
                <c:pt idx="24">
                  <c:v>53.051647697298449</c:v>
                </c:pt>
                <c:pt idx="25">
                  <c:v>21.220659078919383</c:v>
                </c:pt>
              </c:numCache>
            </c:numRef>
          </c:xVal>
          <c:yVal>
            <c:numRef>
              <c:f>data!$J$31:$J$56</c:f>
              <c:numCache>
                <c:formatCode>0.000</c:formatCode>
                <c:ptCount val="26"/>
                <c:pt idx="0">
                  <c:v>3.1840029995869588E-3</c:v>
                </c:pt>
                <c:pt idx="1">
                  <c:v>3.1840029995869588E-3</c:v>
                </c:pt>
                <c:pt idx="2">
                  <c:v>3.1840029995869588E-3</c:v>
                </c:pt>
                <c:pt idx="3">
                  <c:v>3.1840029995869588E-3</c:v>
                </c:pt>
                <c:pt idx="4">
                  <c:v>3.1840029995869588E-3</c:v>
                </c:pt>
                <c:pt idx="5">
                  <c:v>3.1840029995869588E-3</c:v>
                </c:pt>
                <c:pt idx="6">
                  <c:v>3.1840029995869584E-3</c:v>
                </c:pt>
                <c:pt idx="7">
                  <c:v>3.1840029995869584E-3</c:v>
                </c:pt>
                <c:pt idx="8">
                  <c:v>3.1840029995869588E-3</c:v>
                </c:pt>
                <c:pt idx="9">
                  <c:v>3.1840029995869588E-3</c:v>
                </c:pt>
                <c:pt idx="10">
                  <c:v>4.0906724472817993E-3</c:v>
                </c:pt>
                <c:pt idx="11">
                  <c:v>4.0906724472817993E-3</c:v>
                </c:pt>
                <c:pt idx="12">
                  <c:v>4.0906724472817993E-3</c:v>
                </c:pt>
                <c:pt idx="13">
                  <c:v>4.0906724472817993E-3</c:v>
                </c:pt>
                <c:pt idx="14">
                  <c:v>4.0906724472817993E-3</c:v>
                </c:pt>
                <c:pt idx="15">
                  <c:v>4.0906724472817993E-3</c:v>
                </c:pt>
                <c:pt idx="16">
                  <c:v>7.4535599249992996E-3</c:v>
                </c:pt>
                <c:pt idx="17">
                  <c:v>7.4535599249992996E-3</c:v>
                </c:pt>
                <c:pt idx="18">
                  <c:v>7.4535599249992979E-3</c:v>
                </c:pt>
                <c:pt idx="19">
                  <c:v>7.4535599249992996E-3</c:v>
                </c:pt>
                <c:pt idx="20">
                  <c:v>7.4535599249992979E-3</c:v>
                </c:pt>
                <c:pt idx="21">
                  <c:v>1.1785113019775794E-2</c:v>
                </c:pt>
                <c:pt idx="22">
                  <c:v>1.1785113019775792E-2</c:v>
                </c:pt>
                <c:pt idx="23">
                  <c:v>1.1785113019775794E-2</c:v>
                </c:pt>
                <c:pt idx="24">
                  <c:v>1.1785113019775794E-2</c:v>
                </c:pt>
                <c:pt idx="25">
                  <c:v>1.178511301977579E-2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4B-7F42-B427-A200EBB44B0B}"/>
            </c:ext>
          </c:extLst>
        </c:ser>
        <c:ser>
          <c:idx val="10"/>
          <c:order val="1"/>
          <c:tx>
            <c:v>water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data!$H$171:$H$180</c:f>
              <c:numCache>
                <c:formatCode>0.000</c:formatCode>
                <c:ptCount val="10"/>
                <c:pt idx="0">
                  <c:v>11.855116803865576</c:v>
                </c:pt>
                <c:pt idx="1">
                  <c:v>8.8913376028991813</c:v>
                </c:pt>
                <c:pt idx="2">
                  <c:v>5.9275584019327878</c:v>
                </c:pt>
                <c:pt idx="3">
                  <c:v>2.9637792009663939</c:v>
                </c:pt>
                <c:pt idx="4">
                  <c:v>1.1855116803865577</c:v>
                </c:pt>
                <c:pt idx="5">
                  <c:v>0.89162433104703298</c:v>
                </c:pt>
                <c:pt idx="6">
                  <c:v>2.2290608276175825</c:v>
                </c:pt>
                <c:pt idx="7">
                  <c:v>4.458121655235165</c:v>
                </c:pt>
                <c:pt idx="8">
                  <c:v>6.6871824828527471</c:v>
                </c:pt>
                <c:pt idx="9">
                  <c:v>8.91624331047033</c:v>
                </c:pt>
              </c:numCache>
            </c:numRef>
          </c:xVal>
          <c:yVal>
            <c:numRef>
              <c:f>data!$J$171:$J$180</c:f>
              <c:numCache>
                <c:formatCode>0.000</c:formatCode>
                <c:ptCount val="10"/>
                <c:pt idx="0">
                  <c:v>2.7855261269369817E-3</c:v>
                </c:pt>
                <c:pt idx="1">
                  <c:v>2.7855261269369813E-3</c:v>
                </c:pt>
                <c:pt idx="2">
                  <c:v>2.7855261269369817E-3</c:v>
                </c:pt>
                <c:pt idx="3">
                  <c:v>2.7855261269369817E-3</c:v>
                </c:pt>
                <c:pt idx="4">
                  <c:v>2.7855261269369809E-3</c:v>
                </c:pt>
                <c:pt idx="5">
                  <c:v>2.415712648551868E-3</c:v>
                </c:pt>
                <c:pt idx="6">
                  <c:v>2.415712648551868E-3</c:v>
                </c:pt>
                <c:pt idx="7">
                  <c:v>2.415712648551868E-3</c:v>
                </c:pt>
                <c:pt idx="8">
                  <c:v>2.415712648551868E-3</c:v>
                </c:pt>
                <c:pt idx="9">
                  <c:v>2.415712648551868E-3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4B-7F42-B427-A200EBB44B0B}"/>
            </c:ext>
          </c:extLst>
        </c:ser>
        <c:ser>
          <c:idx val="3"/>
          <c:order val="2"/>
          <c:tx>
            <c:v>90-10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data!$H$57:$H$77</c:f>
              <c:numCache>
                <c:formatCode>0.000</c:formatCode>
                <c:ptCount val="21"/>
                <c:pt idx="0">
                  <c:v>10.377986556843783</c:v>
                </c:pt>
                <c:pt idx="1">
                  <c:v>7.7834899176328376</c:v>
                </c:pt>
                <c:pt idx="2">
                  <c:v>5.1889932784218917</c:v>
                </c:pt>
                <c:pt idx="3">
                  <c:v>2.5944966392109459</c:v>
                </c:pt>
                <c:pt idx="4">
                  <c:v>1.0377986556843783</c:v>
                </c:pt>
                <c:pt idx="5">
                  <c:v>1.7129929617922872</c:v>
                </c:pt>
                <c:pt idx="6">
                  <c:v>17.129929617922873</c:v>
                </c:pt>
                <c:pt idx="7">
                  <c:v>12.847447213442155</c:v>
                </c:pt>
                <c:pt idx="8">
                  <c:v>8.5649648089614363</c:v>
                </c:pt>
                <c:pt idx="9">
                  <c:v>4.2824824044807182</c:v>
                </c:pt>
                <c:pt idx="10">
                  <c:v>14.217841582875984</c:v>
                </c:pt>
                <c:pt idx="11">
                  <c:v>14.217841582875984</c:v>
                </c:pt>
                <c:pt idx="12">
                  <c:v>28.435683165751968</c:v>
                </c:pt>
                <c:pt idx="13">
                  <c:v>42.653524748627952</c:v>
                </c:pt>
                <c:pt idx="14">
                  <c:v>5.6871366331503941</c:v>
                </c:pt>
                <c:pt idx="15">
                  <c:v>56.871366331503935</c:v>
                </c:pt>
                <c:pt idx="16">
                  <c:v>142.17841582875985</c:v>
                </c:pt>
                <c:pt idx="17">
                  <c:v>106.63381187156989</c:v>
                </c:pt>
                <c:pt idx="18">
                  <c:v>71.089207914379926</c:v>
                </c:pt>
                <c:pt idx="19">
                  <c:v>35.544603957189963</c:v>
                </c:pt>
                <c:pt idx="20">
                  <c:v>14.217841582875984</c:v>
                </c:pt>
              </c:numCache>
            </c:numRef>
          </c:xVal>
          <c:yVal>
            <c:numRef>
              <c:f>data!$J$57:$J$77</c:f>
              <c:numCache>
                <c:formatCode>0.000</c:formatCode>
                <c:ptCount val="21"/>
                <c:pt idx="0">
                  <c:v>4.7807377809577362E-3</c:v>
                </c:pt>
                <c:pt idx="1">
                  <c:v>4.7807377809577353E-3</c:v>
                </c:pt>
                <c:pt idx="2">
                  <c:v>4.7807377809577362E-3</c:v>
                </c:pt>
                <c:pt idx="3">
                  <c:v>4.7807377809577362E-3</c:v>
                </c:pt>
                <c:pt idx="4">
                  <c:v>4.7807377809577362E-3</c:v>
                </c:pt>
                <c:pt idx="5">
                  <c:v>6.1420897909894813E-3</c:v>
                </c:pt>
                <c:pt idx="6">
                  <c:v>6.1420897909894813E-3</c:v>
                </c:pt>
                <c:pt idx="7">
                  <c:v>6.1420897909894795E-3</c:v>
                </c:pt>
                <c:pt idx="8">
                  <c:v>6.1420897909894813E-3</c:v>
                </c:pt>
                <c:pt idx="9">
                  <c:v>6.1420897909894813E-3</c:v>
                </c:pt>
                <c:pt idx="10">
                  <c:v>1.1191420215589991E-2</c:v>
                </c:pt>
                <c:pt idx="11">
                  <c:v>1.1191420215589991E-2</c:v>
                </c:pt>
                <c:pt idx="12">
                  <c:v>1.1191420215589991E-2</c:v>
                </c:pt>
                <c:pt idx="13">
                  <c:v>1.1191420215589991E-2</c:v>
                </c:pt>
                <c:pt idx="14">
                  <c:v>1.1191420215589989E-2</c:v>
                </c:pt>
                <c:pt idx="15">
                  <c:v>1.1191420215589991E-2</c:v>
                </c:pt>
                <c:pt idx="16">
                  <c:v>1.7695189066658505E-2</c:v>
                </c:pt>
                <c:pt idx="17">
                  <c:v>1.7695189066658505E-2</c:v>
                </c:pt>
                <c:pt idx="18">
                  <c:v>1.7695189066658505E-2</c:v>
                </c:pt>
                <c:pt idx="19">
                  <c:v>1.7695189066658505E-2</c:v>
                </c:pt>
                <c:pt idx="20">
                  <c:v>1.7695189066658505E-2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4B-7F42-B427-A200EBB44B0B}"/>
            </c:ext>
          </c:extLst>
        </c:ser>
        <c:ser>
          <c:idx val="12"/>
          <c:order val="3"/>
          <c:tx>
            <c:v>90-10 water &amp; glycerine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data!$H$181:$H$190</c:f>
              <c:numCache>
                <c:formatCode>0.000</c:formatCode>
                <c:ptCount val="10"/>
                <c:pt idx="0">
                  <c:v>0.79429282585899375</c:v>
                </c:pt>
                <c:pt idx="1">
                  <c:v>1.9857320646474843</c:v>
                </c:pt>
                <c:pt idx="2">
                  <c:v>3.9714641292949686</c:v>
                </c:pt>
                <c:pt idx="3">
                  <c:v>5.9571961939424529</c:v>
                </c:pt>
                <c:pt idx="4">
                  <c:v>7.9429282585899372</c:v>
                </c:pt>
                <c:pt idx="5">
                  <c:v>5.9738830180151199</c:v>
                </c:pt>
                <c:pt idx="6">
                  <c:v>4.4804122635113401</c:v>
                </c:pt>
                <c:pt idx="7">
                  <c:v>2.9869415090075599</c:v>
                </c:pt>
                <c:pt idx="8">
                  <c:v>1.49347075450378</c:v>
                </c:pt>
                <c:pt idx="9">
                  <c:v>0.59738830180151203</c:v>
                </c:pt>
              </c:numCache>
            </c:numRef>
          </c:xVal>
          <c:yVal>
            <c:numRef>
              <c:f>data!$J$181:$J$190</c:f>
              <c:numCache>
                <c:formatCode>0.000</c:formatCode>
                <c:ptCount val="10"/>
                <c:pt idx="0">
                  <c:v>4.1824301034326956E-3</c:v>
                </c:pt>
                <c:pt idx="1">
                  <c:v>4.1824301034326964E-3</c:v>
                </c:pt>
                <c:pt idx="2">
                  <c:v>4.1824301034326964E-3</c:v>
                </c:pt>
                <c:pt idx="3">
                  <c:v>4.1824301034326956E-3</c:v>
                </c:pt>
                <c:pt idx="4">
                  <c:v>4.1824301034326964E-3</c:v>
                </c:pt>
                <c:pt idx="5">
                  <c:v>3.6271601277911994E-3</c:v>
                </c:pt>
                <c:pt idx="6">
                  <c:v>3.627160127791199E-3</c:v>
                </c:pt>
                <c:pt idx="7">
                  <c:v>3.6271601277911994E-3</c:v>
                </c:pt>
                <c:pt idx="8">
                  <c:v>3.6271601277911994E-3</c:v>
                </c:pt>
                <c:pt idx="9">
                  <c:v>3.6271601277911986E-3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4B-7F42-B427-A200EBB44B0B}"/>
            </c:ext>
          </c:extLst>
        </c:ser>
        <c:ser>
          <c:idx val="5"/>
          <c:order val="4"/>
          <c:tx>
            <c:v>70-30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data!$H$100:$H$120</c:f>
              <c:numCache>
                <c:formatCode>0.000</c:formatCode>
                <c:ptCount val="21"/>
                <c:pt idx="0">
                  <c:v>4.2858982328969732</c:v>
                </c:pt>
                <c:pt idx="1">
                  <c:v>2.857265488597982</c:v>
                </c:pt>
                <c:pt idx="2">
                  <c:v>1.428632744298991</c:v>
                </c:pt>
                <c:pt idx="3">
                  <c:v>0.5714530977195964</c:v>
                </c:pt>
                <c:pt idx="4">
                  <c:v>0.94324186009138222</c:v>
                </c:pt>
                <c:pt idx="5">
                  <c:v>2.3581046502284555</c:v>
                </c:pt>
                <c:pt idx="6">
                  <c:v>4.716209300456911</c:v>
                </c:pt>
                <c:pt idx="7">
                  <c:v>7.0743139506853661</c:v>
                </c:pt>
                <c:pt idx="8">
                  <c:v>9.432418600913822</c:v>
                </c:pt>
                <c:pt idx="9">
                  <c:v>31.315629755033882</c:v>
                </c:pt>
                <c:pt idx="10">
                  <c:v>23.486722316275412</c:v>
                </c:pt>
                <c:pt idx="11">
                  <c:v>15.657814877516941</c:v>
                </c:pt>
                <c:pt idx="12">
                  <c:v>7.8289074387584705</c:v>
                </c:pt>
                <c:pt idx="13">
                  <c:v>3.1315629755033885</c:v>
                </c:pt>
                <c:pt idx="14">
                  <c:v>7.8289074387584714</c:v>
                </c:pt>
                <c:pt idx="15">
                  <c:v>19.572268596896176</c:v>
                </c:pt>
                <c:pt idx="16">
                  <c:v>39.144537193792353</c:v>
                </c:pt>
                <c:pt idx="17">
                  <c:v>58.716805790688532</c:v>
                </c:pt>
                <c:pt idx="18">
                  <c:v>58.716805790688532</c:v>
                </c:pt>
                <c:pt idx="19">
                  <c:v>78.289074387584705</c:v>
                </c:pt>
                <c:pt idx="20">
                  <c:v>58.716805790688532</c:v>
                </c:pt>
              </c:numCache>
            </c:numRef>
          </c:xVal>
          <c:yVal>
            <c:numRef>
              <c:f>data!$J$99:$J$120</c:f>
              <c:numCache>
                <c:formatCode>0.000</c:formatCode>
                <c:ptCount val="22"/>
                <c:pt idx="0">
                  <c:v>8.9473523380634249E-3</c:v>
                </c:pt>
                <c:pt idx="1">
                  <c:v>8.9473523380634232E-3</c:v>
                </c:pt>
                <c:pt idx="2">
                  <c:v>8.9473523380634249E-3</c:v>
                </c:pt>
                <c:pt idx="3">
                  <c:v>8.9473523380634249E-3</c:v>
                </c:pt>
                <c:pt idx="4">
                  <c:v>8.9473523380634232E-3</c:v>
                </c:pt>
                <c:pt idx="5">
                  <c:v>1.1495180026584905E-2</c:v>
                </c:pt>
                <c:pt idx="6">
                  <c:v>1.1495180026584907E-2</c:v>
                </c:pt>
                <c:pt idx="7">
                  <c:v>1.1495180026584907E-2</c:v>
                </c:pt>
                <c:pt idx="8">
                  <c:v>1.1495180026584907E-2</c:v>
                </c:pt>
                <c:pt idx="9">
                  <c:v>1.1495180026584907E-2</c:v>
                </c:pt>
                <c:pt idx="10">
                  <c:v>2.0945214822501602E-2</c:v>
                </c:pt>
                <c:pt idx="11">
                  <c:v>2.0945214822501598E-2</c:v>
                </c:pt>
                <c:pt idx="12">
                  <c:v>2.0945214822501602E-2</c:v>
                </c:pt>
                <c:pt idx="13">
                  <c:v>2.0945214822501602E-2</c:v>
                </c:pt>
                <c:pt idx="14">
                  <c:v>2.0945214822501602E-2</c:v>
                </c:pt>
                <c:pt idx="15">
                  <c:v>3.3117292460312205E-2</c:v>
                </c:pt>
                <c:pt idx="16">
                  <c:v>3.3117292460312212E-2</c:v>
                </c:pt>
                <c:pt idx="17">
                  <c:v>3.3117292460312212E-2</c:v>
                </c:pt>
                <c:pt idx="18">
                  <c:v>3.3117292460312205E-2</c:v>
                </c:pt>
                <c:pt idx="19">
                  <c:v>3.3117292460312205E-2</c:v>
                </c:pt>
                <c:pt idx="20">
                  <c:v>3.3117292460312212E-2</c:v>
                </c:pt>
                <c:pt idx="21">
                  <c:v>3.3117292460312205E-2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4B-7F42-B427-A200EBB44B0B}"/>
            </c:ext>
          </c:extLst>
        </c:ser>
        <c:ser>
          <c:idx val="13"/>
          <c:order val="5"/>
          <c:tx>
            <c:v>70-30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data!$H$191:$H$200</c:f>
              <c:numCache>
                <c:formatCode>0.000</c:formatCode>
                <c:ptCount val="10"/>
                <c:pt idx="0">
                  <c:v>4.3736913065689773</c:v>
                </c:pt>
                <c:pt idx="1">
                  <c:v>3.2802684799267334</c:v>
                </c:pt>
                <c:pt idx="2">
                  <c:v>2.1868456532844887</c:v>
                </c:pt>
                <c:pt idx="3">
                  <c:v>1.0934228266422443</c:v>
                </c:pt>
                <c:pt idx="4">
                  <c:v>0.43736913065689775</c:v>
                </c:pt>
                <c:pt idx="5">
                  <c:v>3.2894569070413744</c:v>
                </c:pt>
                <c:pt idx="6">
                  <c:v>2.4670926802810307</c:v>
                </c:pt>
                <c:pt idx="7">
                  <c:v>1.6447284535206872</c:v>
                </c:pt>
                <c:pt idx="8">
                  <c:v>0.8223642267603436</c:v>
                </c:pt>
                <c:pt idx="9">
                  <c:v>0.32894569070413748</c:v>
                </c:pt>
              </c:numCache>
            </c:numRef>
          </c:xVal>
          <c:yVal>
            <c:numRef>
              <c:f>data!$J$191:$J$200</c:f>
              <c:numCache>
                <c:formatCode>0.000</c:formatCode>
                <c:ptCount val="10"/>
                <c:pt idx="0">
                  <c:v>7.8275942917828533E-3</c:v>
                </c:pt>
                <c:pt idx="1">
                  <c:v>7.8275942917828516E-3</c:v>
                </c:pt>
                <c:pt idx="2">
                  <c:v>7.8275942917828533E-3</c:v>
                </c:pt>
                <c:pt idx="3">
                  <c:v>7.8275942917828533E-3</c:v>
                </c:pt>
                <c:pt idx="4">
                  <c:v>7.8275942917828516E-3</c:v>
                </c:pt>
                <c:pt idx="5">
                  <c:v>6.7883831192727629E-3</c:v>
                </c:pt>
                <c:pt idx="6">
                  <c:v>6.7883831192727621E-3</c:v>
                </c:pt>
                <c:pt idx="7">
                  <c:v>6.7883831192727629E-3</c:v>
                </c:pt>
                <c:pt idx="8">
                  <c:v>6.7883831192727629E-3</c:v>
                </c:pt>
                <c:pt idx="9">
                  <c:v>6.7883831192727621E-3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4B-7F42-B427-A200EBB44B0B}"/>
            </c:ext>
          </c:extLst>
        </c:ser>
        <c:ser>
          <c:idx val="4"/>
          <c:order val="6"/>
          <c:tx>
            <c:v>50-50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data!$H$78:$H$98</c:f>
              <c:numCache>
                <c:formatCode>0.000</c:formatCode>
                <c:ptCount val="21"/>
                <c:pt idx="0">
                  <c:v>0.24646579136314689</c:v>
                </c:pt>
                <c:pt idx="1">
                  <c:v>0.61616447840786726</c:v>
                </c:pt>
                <c:pt idx="2">
                  <c:v>1.2323289568157345</c:v>
                </c:pt>
                <c:pt idx="3">
                  <c:v>1.8484934352236018</c:v>
                </c:pt>
                <c:pt idx="4">
                  <c:v>2.464657913631469</c:v>
                </c:pt>
                <c:pt idx="5">
                  <c:v>0.40681702911748352</c:v>
                </c:pt>
                <c:pt idx="6">
                  <c:v>1.0170425727937089</c:v>
                </c:pt>
                <c:pt idx="7">
                  <c:v>2.0340851455874178</c:v>
                </c:pt>
                <c:pt idx="8">
                  <c:v>3.0511277183811263</c:v>
                </c:pt>
                <c:pt idx="9">
                  <c:v>4.0681702911748356</c:v>
                </c:pt>
                <c:pt idx="10">
                  <c:v>13.506325366700452</c:v>
                </c:pt>
                <c:pt idx="11">
                  <c:v>10.129744025025339</c:v>
                </c:pt>
                <c:pt idx="12">
                  <c:v>6.7531626833502258</c:v>
                </c:pt>
                <c:pt idx="13">
                  <c:v>3.3765813416751129</c:v>
                </c:pt>
                <c:pt idx="14">
                  <c:v>1.3506325366700451</c:v>
                </c:pt>
                <c:pt idx="15">
                  <c:v>33.765813416751129</c:v>
                </c:pt>
                <c:pt idx="16">
                  <c:v>25.324360062563343</c:v>
                </c:pt>
                <c:pt idx="17">
                  <c:v>16.882906708375565</c:v>
                </c:pt>
                <c:pt idx="18">
                  <c:v>8.4414533541877823</c:v>
                </c:pt>
                <c:pt idx="19">
                  <c:v>3.3765813416751125</c:v>
                </c:pt>
                <c:pt idx="20">
                  <c:v>3.3765813416751125</c:v>
                </c:pt>
              </c:numCache>
            </c:numRef>
          </c:xVal>
          <c:yVal>
            <c:numRef>
              <c:f>data!$J$78:$J$98</c:f>
              <c:numCache>
                <c:formatCode>0.000</c:formatCode>
                <c:ptCount val="21"/>
                <c:pt idx="0">
                  <c:v>2.1513201771659114E-2</c:v>
                </c:pt>
                <c:pt idx="1">
                  <c:v>2.1513201771659111E-2</c:v>
                </c:pt>
                <c:pt idx="2">
                  <c:v>2.1513201771659111E-2</c:v>
                </c:pt>
                <c:pt idx="3">
                  <c:v>2.1513201771659111E-2</c:v>
                </c:pt>
                <c:pt idx="4">
                  <c:v>2.1513201771659111E-2</c:v>
                </c:pt>
                <c:pt idx="5">
                  <c:v>2.7639252146293852E-2</c:v>
                </c:pt>
                <c:pt idx="6">
                  <c:v>2.7639252146293852E-2</c:v>
                </c:pt>
                <c:pt idx="7">
                  <c:v>2.7639252146293852E-2</c:v>
                </c:pt>
                <c:pt idx="8">
                  <c:v>2.7639252146293852E-2</c:v>
                </c:pt>
                <c:pt idx="9">
                  <c:v>2.7639252146293852E-2</c:v>
                </c:pt>
                <c:pt idx="10">
                  <c:v>5.0361114171206339E-2</c:v>
                </c:pt>
                <c:pt idx="11">
                  <c:v>5.0361114171206332E-2</c:v>
                </c:pt>
                <c:pt idx="12">
                  <c:v>5.0361114171206339E-2</c:v>
                </c:pt>
                <c:pt idx="13">
                  <c:v>5.0361114171206339E-2</c:v>
                </c:pt>
                <c:pt idx="14">
                  <c:v>5.0361114171206339E-2</c:v>
                </c:pt>
                <c:pt idx="15">
                  <c:v>7.9627913142397491E-2</c:v>
                </c:pt>
                <c:pt idx="16">
                  <c:v>7.9627913142397505E-2</c:v>
                </c:pt>
                <c:pt idx="17">
                  <c:v>7.9627913142397491E-2</c:v>
                </c:pt>
                <c:pt idx="18">
                  <c:v>7.9627913142397491E-2</c:v>
                </c:pt>
                <c:pt idx="19">
                  <c:v>7.9627913142397505E-2</c:v>
                </c:pt>
                <c:pt idx="20">
                  <c:v>7.9627913142397505E-2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24B-7F42-B427-A200EBB44B0B}"/>
            </c:ext>
          </c:extLst>
        </c:ser>
        <c:ser>
          <c:idx val="1"/>
          <c:order val="7"/>
          <c:tx>
            <c:v>50-50 water &amp; Glycerine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data!$H$21:$H$30</c:f>
              <c:numCache>
                <c:formatCode>0.000</c:formatCode>
                <c:ptCount val="10"/>
                <c:pt idx="0">
                  <c:v>1.2323289568157345</c:v>
                </c:pt>
                <c:pt idx="1">
                  <c:v>0.61616447840786726</c:v>
                </c:pt>
                <c:pt idx="2">
                  <c:v>0.24646579136314689</c:v>
                </c:pt>
                <c:pt idx="3">
                  <c:v>0.12323289568157345</c:v>
                </c:pt>
                <c:pt idx="4">
                  <c:v>2.0340851455874178</c:v>
                </c:pt>
                <c:pt idx="5">
                  <c:v>1.0170425727937089</c:v>
                </c:pt>
                <c:pt idx="6">
                  <c:v>0.40681702911748352</c:v>
                </c:pt>
                <c:pt idx="7">
                  <c:v>0.20340851455874176</c:v>
                </c:pt>
                <c:pt idx="8">
                  <c:v>6.7531626833502258</c:v>
                </c:pt>
                <c:pt idx="9">
                  <c:v>3.3765813416751129</c:v>
                </c:pt>
              </c:numCache>
            </c:numRef>
          </c:xVal>
          <c:yVal>
            <c:numRef>
              <c:f>data!$J$21:$J$30</c:f>
              <c:numCache>
                <c:formatCode>0.000</c:formatCode>
                <c:ptCount val="10"/>
                <c:pt idx="0">
                  <c:v>2.1513201771659111E-2</c:v>
                </c:pt>
                <c:pt idx="1">
                  <c:v>2.1513201771659111E-2</c:v>
                </c:pt>
                <c:pt idx="2">
                  <c:v>2.1513201771659114E-2</c:v>
                </c:pt>
                <c:pt idx="3">
                  <c:v>2.1513201771659114E-2</c:v>
                </c:pt>
                <c:pt idx="4">
                  <c:v>2.7639252146293852E-2</c:v>
                </c:pt>
                <c:pt idx="5">
                  <c:v>2.7639252146293852E-2</c:v>
                </c:pt>
                <c:pt idx="6">
                  <c:v>2.7639252146293852E-2</c:v>
                </c:pt>
                <c:pt idx="7">
                  <c:v>2.7639252146293852E-2</c:v>
                </c:pt>
                <c:pt idx="8">
                  <c:v>5.0361114171206339E-2</c:v>
                </c:pt>
                <c:pt idx="9">
                  <c:v>5.0361114171206339E-2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4B-7F42-B427-A200EBB44B0B}"/>
            </c:ext>
          </c:extLst>
        </c:ser>
        <c:ser>
          <c:idx val="14"/>
          <c:order val="8"/>
          <c:tx>
            <c:v>50-50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data!$H$201:$H$210</c:f>
              <c:numCache>
                <c:formatCode>0.000</c:formatCode>
                <c:ptCount val="10"/>
                <c:pt idx="0">
                  <c:v>0.18863582914386104</c:v>
                </c:pt>
                <c:pt idx="1">
                  <c:v>0.47158957285965264</c:v>
                </c:pt>
                <c:pt idx="2">
                  <c:v>0.94317914571930528</c:v>
                </c:pt>
                <c:pt idx="3">
                  <c:v>1.4147687185789577</c:v>
                </c:pt>
                <c:pt idx="4">
                  <c:v>1.8863582914386106</c:v>
                </c:pt>
                <c:pt idx="5">
                  <c:v>1.4187316561660142</c:v>
                </c:pt>
                <c:pt idx="6">
                  <c:v>1.0640487421245104</c:v>
                </c:pt>
                <c:pt idx="7">
                  <c:v>0.70936582808300708</c:v>
                </c:pt>
                <c:pt idx="8">
                  <c:v>0.35468291404150354</c:v>
                </c:pt>
                <c:pt idx="9">
                  <c:v>0.1418731656166014</c:v>
                </c:pt>
              </c:numCache>
            </c:numRef>
          </c:xVal>
          <c:yVal>
            <c:numRef>
              <c:f>data!$J$201:$J$210</c:f>
              <c:numCache>
                <c:formatCode>0.000</c:formatCode>
                <c:ptCount val="10"/>
                <c:pt idx="0">
                  <c:v>1.8820832020823221E-2</c:v>
                </c:pt>
                <c:pt idx="1">
                  <c:v>1.8820832020823221E-2</c:v>
                </c:pt>
                <c:pt idx="2">
                  <c:v>1.8820832020823221E-2</c:v>
                </c:pt>
                <c:pt idx="3">
                  <c:v>1.8820832020823217E-2</c:v>
                </c:pt>
                <c:pt idx="4">
                  <c:v>1.8820832020823221E-2</c:v>
                </c:pt>
                <c:pt idx="5">
                  <c:v>1.6322130864005809E-2</c:v>
                </c:pt>
                <c:pt idx="6">
                  <c:v>1.6322130864005812E-2</c:v>
                </c:pt>
                <c:pt idx="7">
                  <c:v>1.6322130864005809E-2</c:v>
                </c:pt>
                <c:pt idx="8">
                  <c:v>1.6322130864005809E-2</c:v>
                </c:pt>
                <c:pt idx="9">
                  <c:v>1.6322130864005809E-2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24B-7F42-B427-A200EBB44B0B}"/>
            </c:ext>
          </c:extLst>
        </c:ser>
        <c:ser>
          <c:idx val="6"/>
          <c:order val="9"/>
          <c:tx>
            <c:v>30-70 water &amp; Glycerine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data!$H$121:$H$140</c:f>
              <c:numCache>
                <c:formatCode>0.000</c:formatCode>
                <c:ptCount val="20"/>
                <c:pt idx="0">
                  <c:v>0.54425225512459341</c:v>
                </c:pt>
                <c:pt idx="1">
                  <c:v>0.40818919134344506</c:v>
                </c:pt>
                <c:pt idx="2">
                  <c:v>0.2721261275622967</c:v>
                </c:pt>
                <c:pt idx="3">
                  <c:v>0.13606306378114835</c:v>
                </c:pt>
                <c:pt idx="4">
                  <c:v>5.442522551245934E-2</c:v>
                </c:pt>
                <c:pt idx="5">
                  <c:v>8.9834408375987121E-2</c:v>
                </c:pt>
                <c:pt idx="6">
                  <c:v>0.2245860209399678</c:v>
                </c:pt>
                <c:pt idx="7">
                  <c:v>0.44917204187993559</c:v>
                </c:pt>
                <c:pt idx="8">
                  <c:v>0.67375806281990347</c:v>
                </c:pt>
                <c:pt idx="9">
                  <c:v>0.89834408375987118</c:v>
                </c:pt>
                <c:pt idx="10">
                  <c:v>2.9825023580827725</c:v>
                </c:pt>
                <c:pt idx="11">
                  <c:v>2.2368767685620794</c:v>
                </c:pt>
                <c:pt idx="12">
                  <c:v>1.4912511790413863</c:v>
                </c:pt>
                <c:pt idx="13">
                  <c:v>0.74562558952069313</c:v>
                </c:pt>
                <c:pt idx="14">
                  <c:v>0.29825023580827725</c:v>
                </c:pt>
                <c:pt idx="15">
                  <c:v>7.4562558952069304</c:v>
                </c:pt>
                <c:pt idx="16">
                  <c:v>5.5921919214051981</c:v>
                </c:pt>
                <c:pt idx="17">
                  <c:v>3.7281279476034652</c:v>
                </c:pt>
                <c:pt idx="18">
                  <c:v>1.8640639738017326</c:v>
                </c:pt>
                <c:pt idx="19">
                  <c:v>0.74562558952069302</c:v>
                </c:pt>
              </c:numCache>
            </c:numRef>
          </c:xVal>
          <c:yVal>
            <c:numRef>
              <c:f>data!$J$121:$J$141</c:f>
              <c:numCache>
                <c:formatCode>0.000</c:formatCode>
                <c:ptCount val="21"/>
                <c:pt idx="0">
                  <c:v>0.10191632393703294</c:v>
                </c:pt>
                <c:pt idx="1">
                  <c:v>0.10191632393703293</c:v>
                </c:pt>
                <c:pt idx="2">
                  <c:v>0.10191632393703294</c:v>
                </c:pt>
                <c:pt idx="3">
                  <c:v>0.10191632393703294</c:v>
                </c:pt>
                <c:pt idx="4">
                  <c:v>0.10191632393703294</c:v>
                </c:pt>
                <c:pt idx="5">
                  <c:v>0.13093778439013715</c:v>
                </c:pt>
                <c:pt idx="6">
                  <c:v>0.13093778439013717</c:v>
                </c:pt>
                <c:pt idx="7">
                  <c:v>0.13093778439013717</c:v>
                </c:pt>
                <c:pt idx="8">
                  <c:v>0.13093778439013715</c:v>
                </c:pt>
                <c:pt idx="9">
                  <c:v>0.13093778439013717</c:v>
                </c:pt>
                <c:pt idx="10">
                  <c:v>0.23857999753733236</c:v>
                </c:pt>
                <c:pt idx="11">
                  <c:v>0.23857999753733233</c:v>
                </c:pt>
                <c:pt idx="12">
                  <c:v>0.23857999753733236</c:v>
                </c:pt>
                <c:pt idx="13">
                  <c:v>0.23857999753733236</c:v>
                </c:pt>
                <c:pt idx="14">
                  <c:v>0.23857999753733236</c:v>
                </c:pt>
                <c:pt idx="15">
                  <c:v>0.37722809818766662</c:v>
                </c:pt>
                <c:pt idx="16">
                  <c:v>0.37722809818766645</c:v>
                </c:pt>
                <c:pt idx="17">
                  <c:v>0.37722809818766662</c:v>
                </c:pt>
                <c:pt idx="18">
                  <c:v>0.37722809818766662</c:v>
                </c:pt>
                <c:pt idx="19">
                  <c:v>0.37722809818766651</c:v>
                </c:pt>
                <c:pt idx="20">
                  <c:v>0.69331599267936017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24B-7F42-B427-A200EBB44B0B}"/>
            </c:ext>
          </c:extLst>
        </c:ser>
        <c:ser>
          <c:idx val="15"/>
          <c:order val="10"/>
          <c:tx>
            <c:v>30-70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data!$H$211:$H$220</c:f>
              <c:numCache>
                <c:formatCode>0.000</c:formatCode>
                <c:ptCount val="10"/>
                <c:pt idx="0">
                  <c:v>4.1655060867077827E-2</c:v>
                </c:pt>
                <c:pt idx="1">
                  <c:v>0.10413765216769456</c:v>
                </c:pt>
                <c:pt idx="2">
                  <c:v>0.20827530433538913</c:v>
                </c:pt>
                <c:pt idx="3">
                  <c:v>0.31241295650308371</c:v>
                </c:pt>
                <c:pt idx="4">
                  <c:v>0.41655060867077826</c:v>
                </c:pt>
                <c:pt idx="5">
                  <c:v>0.31328806282382066</c:v>
                </c:pt>
                <c:pt idx="6">
                  <c:v>0.23496604711786551</c:v>
                </c:pt>
                <c:pt idx="7">
                  <c:v>0.15664403141191033</c:v>
                </c:pt>
                <c:pt idx="8">
                  <c:v>7.8322015705955164E-2</c:v>
                </c:pt>
                <c:pt idx="9">
                  <c:v>3.132880628238207E-2</c:v>
                </c:pt>
              </c:numCache>
            </c:numRef>
          </c:xVal>
          <c:yVal>
            <c:numRef>
              <c:f>data!$J$211:$J$220</c:f>
              <c:numCache>
                <c:formatCode>0.000</c:formatCode>
                <c:ptCount val="10"/>
                <c:pt idx="0">
                  <c:v>8.9161531294036298E-2</c:v>
                </c:pt>
                <c:pt idx="1">
                  <c:v>8.9161531294036325E-2</c:v>
                </c:pt>
                <c:pt idx="2">
                  <c:v>8.9161531294036325E-2</c:v>
                </c:pt>
                <c:pt idx="3">
                  <c:v>8.9161531294036298E-2</c:v>
                </c:pt>
                <c:pt idx="4">
                  <c:v>8.9161531294036325E-2</c:v>
                </c:pt>
                <c:pt idx="5">
                  <c:v>7.7324221384382524E-2</c:v>
                </c:pt>
                <c:pt idx="6">
                  <c:v>7.7324221384382497E-2</c:v>
                </c:pt>
                <c:pt idx="7">
                  <c:v>7.7324221384382524E-2</c:v>
                </c:pt>
                <c:pt idx="8">
                  <c:v>7.7324221384382524E-2</c:v>
                </c:pt>
                <c:pt idx="9">
                  <c:v>7.732422138438251E-2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24B-7F42-B427-A200EBB44B0B}"/>
            </c:ext>
          </c:extLst>
        </c:ser>
        <c:ser>
          <c:idx val="7"/>
          <c:order val="11"/>
          <c:tx>
            <c:v>10-90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2">
                  <a:lumMod val="9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data!$H$141:$H$155</c:f>
              <c:numCache>
                <c:formatCode>0.000</c:formatCode>
                <c:ptCount val="15"/>
                <c:pt idx="0">
                  <c:v>8.2987009339488271E-2</c:v>
                </c:pt>
                <c:pt idx="1">
                  <c:v>6.224025700461621E-2</c:v>
                </c:pt>
                <c:pt idx="2">
                  <c:v>4.1493504669744136E-2</c:v>
                </c:pt>
                <c:pt idx="3">
                  <c:v>2.0746752334872068E-2</c:v>
                </c:pt>
                <c:pt idx="4">
                  <c:v>8.2987009339488289E-3</c:v>
                </c:pt>
                <c:pt idx="5">
                  <c:v>1.3697855758445661E-2</c:v>
                </c:pt>
                <c:pt idx="6">
                  <c:v>3.4244639396114149E-2</c:v>
                </c:pt>
                <c:pt idx="7">
                  <c:v>6.8489278792228298E-2</c:v>
                </c:pt>
                <c:pt idx="8">
                  <c:v>0.10273391818834245</c:v>
                </c:pt>
                <c:pt idx="9">
                  <c:v>0.1369785575844566</c:v>
                </c:pt>
                <c:pt idx="10">
                  <c:v>0.4547688111803958</c:v>
                </c:pt>
                <c:pt idx="11">
                  <c:v>0.34107660838529685</c:v>
                </c:pt>
                <c:pt idx="12">
                  <c:v>0.2273844055901979</c:v>
                </c:pt>
                <c:pt idx="13">
                  <c:v>0.11369220279509895</c:v>
                </c:pt>
                <c:pt idx="14">
                  <c:v>4.5476881118039582E-2</c:v>
                </c:pt>
              </c:numCache>
            </c:numRef>
          </c:xVal>
          <c:yVal>
            <c:numRef>
              <c:f>data!$J$141:$J$155</c:f>
              <c:numCache>
                <c:formatCode>0.000</c:formatCode>
                <c:ptCount val="15"/>
                <c:pt idx="0">
                  <c:v>0.69331599267936017</c:v>
                </c:pt>
                <c:pt idx="1">
                  <c:v>0.69331599267935984</c:v>
                </c:pt>
                <c:pt idx="2">
                  <c:v>0.69331599267936017</c:v>
                </c:pt>
                <c:pt idx="3">
                  <c:v>0.69331599267936017</c:v>
                </c:pt>
                <c:pt idx="4">
                  <c:v>0.69331599267935984</c:v>
                </c:pt>
                <c:pt idx="5">
                  <c:v>0.89074307683793053</c:v>
                </c:pt>
                <c:pt idx="6">
                  <c:v>0.89074307683793053</c:v>
                </c:pt>
                <c:pt idx="7">
                  <c:v>0.89074307683793053</c:v>
                </c:pt>
                <c:pt idx="8">
                  <c:v>0.89074307683793053</c:v>
                </c:pt>
                <c:pt idx="9">
                  <c:v>0.89074307683793053</c:v>
                </c:pt>
                <c:pt idx="10">
                  <c:v>1.6230111275229187</c:v>
                </c:pt>
                <c:pt idx="11">
                  <c:v>1.6230111275229187</c:v>
                </c:pt>
                <c:pt idx="12">
                  <c:v>1.6230111275229187</c:v>
                </c:pt>
                <c:pt idx="13">
                  <c:v>1.6230111275229187</c:v>
                </c:pt>
                <c:pt idx="14">
                  <c:v>1.6230111275229189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24B-7F42-B427-A200EBB44B0B}"/>
            </c:ext>
          </c:extLst>
        </c:ser>
        <c:ser>
          <c:idx val="16"/>
          <c:order val="12"/>
          <c:tx>
            <c:v>10-90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2">
                  <a:lumMod val="9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data!$H$221:$H$230</c:f>
              <c:numCache>
                <c:formatCode>0.000</c:formatCode>
                <c:ptCount val="10"/>
                <c:pt idx="0">
                  <c:v>6.3515197092234049E-2</c:v>
                </c:pt>
                <c:pt idx="1">
                  <c:v>4.7636397819175537E-2</c:v>
                </c:pt>
                <c:pt idx="2">
                  <c:v>3.1757598546117025E-2</c:v>
                </c:pt>
                <c:pt idx="3">
                  <c:v>1.5878799273058512E-2</c:v>
                </c:pt>
                <c:pt idx="4">
                  <c:v>6.3515197092234047E-3</c:v>
                </c:pt>
                <c:pt idx="5">
                  <c:v>4.7769833107184433E-2</c:v>
                </c:pt>
                <c:pt idx="6">
                  <c:v>3.582737483038833E-2</c:v>
                </c:pt>
                <c:pt idx="7">
                  <c:v>2.3884916553592216E-2</c:v>
                </c:pt>
                <c:pt idx="8">
                  <c:v>1.1942458276796108E-2</c:v>
                </c:pt>
                <c:pt idx="9">
                  <c:v>4.7769833107184443E-3</c:v>
                </c:pt>
              </c:numCache>
            </c:numRef>
          </c:xVal>
          <c:yVal>
            <c:numRef>
              <c:f>data!$J$221:$J$230</c:f>
              <c:numCache>
                <c:formatCode>0.000</c:formatCode>
                <c:ptCount val="10"/>
                <c:pt idx="0">
                  <c:v>0.60654773631875836</c:v>
                </c:pt>
                <c:pt idx="1">
                  <c:v>0.60654773631875825</c:v>
                </c:pt>
                <c:pt idx="2">
                  <c:v>0.60654773631875836</c:v>
                </c:pt>
                <c:pt idx="3">
                  <c:v>0.60654773631875836</c:v>
                </c:pt>
                <c:pt idx="4">
                  <c:v>0.60654773631875836</c:v>
                </c:pt>
                <c:pt idx="5">
                  <c:v>0.52602092811347645</c:v>
                </c:pt>
                <c:pt idx="6">
                  <c:v>0.52602092811347634</c:v>
                </c:pt>
                <c:pt idx="7">
                  <c:v>0.52602092811347645</c:v>
                </c:pt>
                <c:pt idx="8">
                  <c:v>0.52602092811347645</c:v>
                </c:pt>
                <c:pt idx="9">
                  <c:v>0.52602092811347623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24B-7F42-B427-A200EBB44B0B}"/>
            </c:ext>
          </c:extLst>
        </c:ser>
        <c:ser>
          <c:idx val="8"/>
          <c:order val="13"/>
          <c:tx>
            <c:v>5-95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data!$H$156:$H$170</c:f>
              <c:numCache>
                <c:formatCode>0.000</c:formatCode>
                <c:ptCount val="15"/>
                <c:pt idx="0">
                  <c:v>3.7704580594704641E-2</c:v>
                </c:pt>
                <c:pt idx="1">
                  <c:v>2.8278435446028483E-2</c:v>
                </c:pt>
                <c:pt idx="2">
                  <c:v>1.8852290297352321E-2</c:v>
                </c:pt>
                <c:pt idx="3">
                  <c:v>9.4261451486761603E-3</c:v>
                </c:pt>
                <c:pt idx="4">
                  <c:v>3.770458059470465E-3</c:v>
                </c:pt>
                <c:pt idx="5">
                  <c:v>6.2235271584030576E-3</c:v>
                </c:pt>
                <c:pt idx="6">
                  <c:v>1.5558817896007642E-2</c:v>
                </c:pt>
                <c:pt idx="7">
                  <c:v>3.1117635792015284E-2</c:v>
                </c:pt>
                <c:pt idx="8">
                  <c:v>4.667645368802293E-2</c:v>
                </c:pt>
                <c:pt idx="9">
                  <c:v>6.2235271584030569E-2</c:v>
                </c:pt>
                <c:pt idx="10">
                  <c:v>0.15496582624423616</c:v>
                </c:pt>
                <c:pt idx="11">
                  <c:v>0.20662110165898151</c:v>
                </c:pt>
                <c:pt idx="12">
                  <c:v>0.10331055082949075</c:v>
                </c:pt>
                <c:pt idx="13">
                  <c:v>5.1655275414745377E-2</c:v>
                </c:pt>
                <c:pt idx="14">
                  <c:v>2.0662110165898154E-2</c:v>
                </c:pt>
              </c:numCache>
            </c:numRef>
          </c:xVal>
          <c:yVal>
            <c:numRef>
              <c:f>data!$J$156:$J$170</c:f>
              <c:numCache>
                <c:formatCode>0.000</c:formatCode>
                <c:ptCount val="15"/>
                <c:pt idx="0">
                  <c:v>1.5471577742432081</c:v>
                </c:pt>
                <c:pt idx="1">
                  <c:v>1.5471577742432077</c:v>
                </c:pt>
                <c:pt idx="2">
                  <c:v>1.5471577742432081</c:v>
                </c:pt>
                <c:pt idx="3">
                  <c:v>1.5471577742432081</c:v>
                </c:pt>
                <c:pt idx="4">
                  <c:v>1.5471577742432074</c:v>
                </c:pt>
                <c:pt idx="5">
                  <c:v>1.9877229008626986</c:v>
                </c:pt>
                <c:pt idx="6">
                  <c:v>1.9877229008626991</c:v>
                </c:pt>
                <c:pt idx="7">
                  <c:v>1.9877229008626991</c:v>
                </c:pt>
                <c:pt idx="8">
                  <c:v>1.9877229008626986</c:v>
                </c:pt>
                <c:pt idx="9">
                  <c:v>1.9877229008626991</c:v>
                </c:pt>
                <c:pt idx="10">
                  <c:v>3.6218034924107276</c:v>
                </c:pt>
                <c:pt idx="11">
                  <c:v>3.6218034924107294</c:v>
                </c:pt>
                <c:pt idx="12">
                  <c:v>3.6218034924107294</c:v>
                </c:pt>
                <c:pt idx="13">
                  <c:v>3.6218034924107294</c:v>
                </c:pt>
                <c:pt idx="14">
                  <c:v>3.6218034924107285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24B-7F42-B427-A200EBB44B0B}"/>
            </c:ext>
          </c:extLst>
        </c:ser>
        <c:ser>
          <c:idx val="17"/>
          <c:order val="14"/>
          <c:tx>
            <c:v>5-95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data!$H$231:$H$240</c:f>
              <c:numCache>
                <c:formatCode>0.000</c:formatCode>
                <c:ptCount val="10"/>
                <c:pt idx="0">
                  <c:v>2.8857695762427579E-2</c:v>
                </c:pt>
                <c:pt idx="1">
                  <c:v>2.1643271821820687E-2</c:v>
                </c:pt>
                <c:pt idx="2">
                  <c:v>1.4428847881213789E-2</c:v>
                </c:pt>
                <c:pt idx="3">
                  <c:v>7.2144239406068946E-3</c:v>
                </c:pt>
                <c:pt idx="4">
                  <c:v>2.8857695762427582E-3</c:v>
                </c:pt>
                <c:pt idx="5">
                  <c:v>1.6277922924814722E-2</c:v>
                </c:pt>
                <c:pt idx="6">
                  <c:v>2.1703897233086297E-2</c:v>
                </c:pt>
                <c:pt idx="7">
                  <c:v>1.0851948616543148E-2</c:v>
                </c:pt>
                <c:pt idx="8">
                  <c:v>5.4259743082715741E-3</c:v>
                </c:pt>
                <c:pt idx="9">
                  <c:v>2.1703897233086296E-3</c:v>
                </c:pt>
              </c:numCache>
            </c:numRef>
          </c:xVal>
          <c:yVal>
            <c:numRef>
              <c:f>data!$J$231:$J$240</c:f>
              <c:numCache>
                <c:formatCode>0.000</c:formatCode>
                <c:ptCount val="10"/>
                <c:pt idx="0">
                  <c:v>1.3535315146396494</c:v>
                </c:pt>
                <c:pt idx="1">
                  <c:v>1.3535315146396492</c:v>
                </c:pt>
                <c:pt idx="2">
                  <c:v>1.3535315146396494</c:v>
                </c:pt>
                <c:pt idx="3">
                  <c:v>1.3535315146396494</c:v>
                </c:pt>
                <c:pt idx="4">
                  <c:v>1.3535315146396492</c:v>
                </c:pt>
                <c:pt idx="5">
                  <c:v>1.173833254877434</c:v>
                </c:pt>
                <c:pt idx="6">
                  <c:v>1.173833254877434</c:v>
                </c:pt>
                <c:pt idx="7">
                  <c:v>1.173833254877434</c:v>
                </c:pt>
                <c:pt idx="8">
                  <c:v>1.173833254877434</c:v>
                </c:pt>
                <c:pt idx="9">
                  <c:v>1.1738332548774337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24B-7F42-B427-A200EBB44B0B}"/>
            </c:ext>
          </c:extLst>
        </c:ser>
        <c:ser>
          <c:idx val="0"/>
          <c:order val="15"/>
          <c:tx>
            <c:v>Glycerine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data!$H$3:$H$20</c:f>
              <c:numCache>
                <c:formatCode>0.000</c:formatCode>
                <c:ptCount val="18"/>
                <c:pt idx="0">
                  <c:v>7.1596059828308682E-3</c:v>
                </c:pt>
                <c:pt idx="1">
                  <c:v>3.5798029914154341E-3</c:v>
                </c:pt>
                <c:pt idx="2">
                  <c:v>1.4319211965661736E-3</c:v>
                </c:pt>
                <c:pt idx="3">
                  <c:v>7.1596059828308678E-4</c:v>
                </c:pt>
                <c:pt idx="4">
                  <c:v>3.5798029914154339E-4</c:v>
                </c:pt>
                <c:pt idx="5">
                  <c:v>7.1596059828308682E-3</c:v>
                </c:pt>
                <c:pt idx="6">
                  <c:v>3.5798029914154341E-3</c:v>
                </c:pt>
                <c:pt idx="7">
                  <c:v>1.4319211965661736E-3</c:v>
                </c:pt>
                <c:pt idx="8">
                  <c:v>7.1596059828308678E-4</c:v>
                </c:pt>
                <c:pt idx="9">
                  <c:v>1.1817662887323242E-2</c:v>
                </c:pt>
                <c:pt idx="10">
                  <c:v>5.9088314436616211E-3</c:v>
                </c:pt>
                <c:pt idx="11">
                  <c:v>2.3635325774646484E-3</c:v>
                </c:pt>
                <c:pt idx="12">
                  <c:v>1.1817662887323242E-3</c:v>
                </c:pt>
                <c:pt idx="13">
                  <c:v>1.1817662887323242E-2</c:v>
                </c:pt>
                <c:pt idx="14">
                  <c:v>5.9088314436616211E-3</c:v>
                </c:pt>
                <c:pt idx="15">
                  <c:v>2.3635325774646484E-3</c:v>
                </c:pt>
                <c:pt idx="16">
                  <c:v>3.9234640785913162E-2</c:v>
                </c:pt>
                <c:pt idx="17">
                  <c:v>7.8469281571826324E-2</c:v>
                </c:pt>
              </c:numCache>
            </c:numRef>
          </c:xVal>
          <c:yVal>
            <c:numRef>
              <c:f>data!$J$3:$J$20</c:f>
              <c:numCache>
                <c:formatCode>0.000</c:formatCode>
                <c:ptCount val="18"/>
                <c:pt idx="0">
                  <c:v>4.1198971123156687</c:v>
                </c:pt>
                <c:pt idx="1">
                  <c:v>4.1198971123156687</c:v>
                </c:pt>
                <c:pt idx="2">
                  <c:v>4.1198971123156687</c:v>
                </c:pt>
                <c:pt idx="3">
                  <c:v>4.1198971123156687</c:v>
                </c:pt>
                <c:pt idx="4">
                  <c:v>4.1198971123156687</c:v>
                </c:pt>
                <c:pt idx="5">
                  <c:v>4.1198971123156687</c:v>
                </c:pt>
                <c:pt idx="6">
                  <c:v>4.1198971123156687</c:v>
                </c:pt>
                <c:pt idx="7">
                  <c:v>4.1198971123156687</c:v>
                </c:pt>
                <c:pt idx="8">
                  <c:v>4.1198971123156687</c:v>
                </c:pt>
                <c:pt idx="9">
                  <c:v>5.2930696375511621</c:v>
                </c:pt>
                <c:pt idx="10">
                  <c:v>5.2930696375511621</c:v>
                </c:pt>
                <c:pt idx="11">
                  <c:v>5.2930696375511612</c:v>
                </c:pt>
                <c:pt idx="12">
                  <c:v>5.2930696375511612</c:v>
                </c:pt>
                <c:pt idx="13">
                  <c:v>5.2930696375511621</c:v>
                </c:pt>
                <c:pt idx="14">
                  <c:v>5.2930696375511621</c:v>
                </c:pt>
                <c:pt idx="15">
                  <c:v>5.2930696375511612</c:v>
                </c:pt>
                <c:pt idx="16">
                  <c:v>9.6444318725390499</c:v>
                </c:pt>
                <c:pt idx="17">
                  <c:v>9.6444318725390499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24B-7F42-B427-A200EBB44B0B}"/>
            </c:ext>
          </c:extLst>
        </c:ser>
        <c:ser>
          <c:idx val="18"/>
          <c:order val="16"/>
          <c:tx>
            <c:v>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data!$H$241:$H$252</c:f>
              <c:numCache>
                <c:formatCode>0.000</c:formatCode>
                <c:ptCount val="12"/>
                <c:pt idx="0">
                  <c:v>1.0959396867573509E-2</c:v>
                </c:pt>
                <c:pt idx="1">
                  <c:v>1.0959396867573509E-2</c:v>
                </c:pt>
                <c:pt idx="2">
                  <c:v>8.219547650680132E-3</c:v>
                </c:pt>
                <c:pt idx="3">
                  <c:v>1.0959396867573509E-2</c:v>
                </c:pt>
                <c:pt idx="4">
                  <c:v>5.4796984337867546E-3</c:v>
                </c:pt>
                <c:pt idx="5">
                  <c:v>2.7398492168933773E-3</c:v>
                </c:pt>
                <c:pt idx="6">
                  <c:v>1.0959396867573511E-3</c:v>
                </c:pt>
                <c:pt idx="7">
                  <c:v>8.242571593679237E-4</c:v>
                </c:pt>
                <c:pt idx="8">
                  <c:v>2.0606428984198091E-3</c:v>
                </c:pt>
                <c:pt idx="9">
                  <c:v>4.1212857968396183E-3</c:v>
                </c:pt>
                <c:pt idx="10">
                  <c:v>6.1819286952594279E-3</c:v>
                </c:pt>
                <c:pt idx="11">
                  <c:v>8.2425715936792366E-3</c:v>
                </c:pt>
              </c:numCache>
            </c:numRef>
          </c:xVal>
          <c:yVal>
            <c:numRef>
              <c:f>data!$J$241:$J$252</c:f>
              <c:numCache>
                <c:formatCode>0.000</c:formatCode>
                <c:ptCount val="12"/>
                <c:pt idx="0">
                  <c:v>3.6042934155954756</c:v>
                </c:pt>
                <c:pt idx="1">
                  <c:v>3.6042934155954756</c:v>
                </c:pt>
                <c:pt idx="2">
                  <c:v>3.6042934155954747</c:v>
                </c:pt>
                <c:pt idx="3">
                  <c:v>3.6042934155954756</c:v>
                </c:pt>
                <c:pt idx="4">
                  <c:v>3.6042934155954756</c:v>
                </c:pt>
                <c:pt idx="5">
                  <c:v>3.6042934155954756</c:v>
                </c:pt>
                <c:pt idx="6">
                  <c:v>3.6042934155954747</c:v>
                </c:pt>
                <c:pt idx="7">
                  <c:v>3.1257783256624925</c:v>
                </c:pt>
                <c:pt idx="8">
                  <c:v>3.1257783256624929</c:v>
                </c:pt>
                <c:pt idx="9">
                  <c:v>3.1257783256624929</c:v>
                </c:pt>
                <c:pt idx="10">
                  <c:v>3.1257783256624925</c:v>
                </c:pt>
                <c:pt idx="11">
                  <c:v>3.1257783256624929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24B-7F42-B427-A200EBB44B0B}"/>
            </c:ext>
          </c:extLst>
        </c:ser>
        <c:ser>
          <c:idx val="21"/>
          <c:order val="17"/>
          <c:tx>
            <c:v>90-10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A00029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data!$H$403:$H$432</c:f>
              <c:numCache>
                <c:formatCode>0.000</c:formatCode>
                <c:ptCount val="30"/>
                <c:pt idx="0">
                  <c:v>5.9648648299702298</c:v>
                </c:pt>
                <c:pt idx="1">
                  <c:v>4.4736486224776719</c:v>
                </c:pt>
                <c:pt idx="2">
                  <c:v>2.9824324149851149</c:v>
                </c:pt>
                <c:pt idx="3">
                  <c:v>1.4912162074925575</c:v>
                </c:pt>
                <c:pt idx="4">
                  <c:v>0.59648648299702289</c:v>
                </c:pt>
                <c:pt idx="5">
                  <c:v>7.9309375951559486</c:v>
                </c:pt>
                <c:pt idx="6">
                  <c:v>5.9482031963669604</c:v>
                </c:pt>
                <c:pt idx="7">
                  <c:v>3.9654687975779743</c:v>
                </c:pt>
                <c:pt idx="8">
                  <c:v>1.9827343987889872</c:v>
                </c:pt>
                <c:pt idx="9">
                  <c:v>0.79309375951559469</c:v>
                </c:pt>
                <c:pt idx="10">
                  <c:v>10.362319923597916</c:v>
                </c:pt>
                <c:pt idx="11">
                  <c:v>7.7717399426984368</c:v>
                </c:pt>
                <c:pt idx="12">
                  <c:v>5.1811599617989579</c:v>
                </c:pt>
                <c:pt idx="13">
                  <c:v>2.5905799808994789</c:v>
                </c:pt>
                <c:pt idx="14">
                  <c:v>1.0362319923597916</c:v>
                </c:pt>
                <c:pt idx="15">
                  <c:v>17.104070235336323</c:v>
                </c:pt>
                <c:pt idx="16">
                  <c:v>12.82805267650224</c:v>
                </c:pt>
                <c:pt idx="17">
                  <c:v>8.5520351176681615</c:v>
                </c:pt>
                <c:pt idx="18">
                  <c:v>4.2760175588340807</c:v>
                </c:pt>
                <c:pt idx="19">
                  <c:v>1.7104070235336319</c:v>
                </c:pt>
                <c:pt idx="20">
                  <c:v>56.785513181316588</c:v>
                </c:pt>
                <c:pt idx="21">
                  <c:v>42.589134885987434</c:v>
                </c:pt>
                <c:pt idx="22">
                  <c:v>28.392756590658294</c:v>
                </c:pt>
                <c:pt idx="23">
                  <c:v>14.196378295329147</c:v>
                </c:pt>
                <c:pt idx="24">
                  <c:v>5.6785513181316576</c:v>
                </c:pt>
                <c:pt idx="25">
                  <c:v>141.96378295329146</c:v>
                </c:pt>
                <c:pt idx="26">
                  <c:v>106.47283721496859</c:v>
                </c:pt>
                <c:pt idx="27">
                  <c:v>70.981891476645728</c:v>
                </c:pt>
                <c:pt idx="28">
                  <c:v>35.490945738322864</c:v>
                </c:pt>
                <c:pt idx="29">
                  <c:v>14.196378295329145</c:v>
                </c:pt>
              </c:numCache>
            </c:numRef>
          </c:xVal>
          <c:yVal>
            <c:numRef>
              <c:f>data!$J$403:$J$432</c:f>
              <c:numCache>
                <c:formatCode>0.000</c:formatCode>
                <c:ptCount val="30"/>
                <c:pt idx="0">
                  <c:v>4.2084497351203808E-3</c:v>
                </c:pt>
                <c:pt idx="1">
                  <c:v>4.2084497351203808E-3</c:v>
                </c:pt>
                <c:pt idx="2">
                  <c:v>4.2084497351203808E-3</c:v>
                </c:pt>
                <c:pt idx="3">
                  <c:v>4.2084497351203808E-3</c:v>
                </c:pt>
                <c:pt idx="4">
                  <c:v>4.2084497351203816E-3</c:v>
                </c:pt>
                <c:pt idx="5">
                  <c:v>4.8527074187015564E-3</c:v>
                </c:pt>
                <c:pt idx="6">
                  <c:v>4.8527074187015556E-3</c:v>
                </c:pt>
                <c:pt idx="7">
                  <c:v>4.8527074187015564E-3</c:v>
                </c:pt>
                <c:pt idx="8">
                  <c:v>4.8527074187015564E-3</c:v>
                </c:pt>
                <c:pt idx="9">
                  <c:v>4.8527074187015564E-3</c:v>
                </c:pt>
                <c:pt idx="10">
                  <c:v>5.546900037248584E-3</c:v>
                </c:pt>
                <c:pt idx="11">
                  <c:v>5.5469000372485831E-3</c:v>
                </c:pt>
                <c:pt idx="12">
                  <c:v>5.546900037248584E-3</c:v>
                </c:pt>
                <c:pt idx="13">
                  <c:v>5.546900037248584E-3</c:v>
                </c:pt>
                <c:pt idx="14">
                  <c:v>5.5469000372485823E-3</c:v>
                </c:pt>
                <c:pt idx="15">
                  <c:v>7.1264226676742053E-3</c:v>
                </c:pt>
                <c:pt idx="16">
                  <c:v>7.1264226676742044E-3</c:v>
                </c:pt>
                <c:pt idx="17">
                  <c:v>7.1264226676742053E-3</c:v>
                </c:pt>
                <c:pt idx="18">
                  <c:v>7.1264226676742053E-3</c:v>
                </c:pt>
                <c:pt idx="19">
                  <c:v>7.1264226676742062E-3</c:v>
                </c:pt>
                <c:pt idx="20">
                  <c:v>1.2984960074150835E-2</c:v>
                </c:pt>
                <c:pt idx="21">
                  <c:v>1.2984960074150837E-2</c:v>
                </c:pt>
                <c:pt idx="22">
                  <c:v>1.2984960074150835E-2</c:v>
                </c:pt>
                <c:pt idx="23">
                  <c:v>1.2984960074150835E-2</c:v>
                </c:pt>
                <c:pt idx="24">
                  <c:v>1.2984960074150837E-2</c:v>
                </c:pt>
                <c:pt idx="25">
                  <c:v>2.0531024580332766E-2</c:v>
                </c:pt>
                <c:pt idx="26">
                  <c:v>2.0531024580332766E-2</c:v>
                </c:pt>
                <c:pt idx="27">
                  <c:v>2.0531024580332766E-2</c:v>
                </c:pt>
                <c:pt idx="28">
                  <c:v>2.0531024580332766E-2</c:v>
                </c:pt>
                <c:pt idx="29">
                  <c:v>2.053102458033277E-2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42-AB45-B32F-03896CCF75DC}"/>
            </c:ext>
          </c:extLst>
        </c:ser>
        <c:ser>
          <c:idx val="22"/>
          <c:order val="18"/>
          <c:tx>
            <c:v>70-30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C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data!$H$373:$H$402</c:f>
              <c:numCache>
                <c:formatCode>0.000</c:formatCode>
                <c:ptCount val="30"/>
                <c:pt idx="0">
                  <c:v>3.3335245151080999</c:v>
                </c:pt>
                <c:pt idx="1">
                  <c:v>2.5001433863310751</c:v>
                </c:pt>
                <c:pt idx="2">
                  <c:v>1.6667622575540499</c:v>
                </c:pt>
                <c:pt idx="3">
                  <c:v>0.83338112877702497</c:v>
                </c:pt>
                <c:pt idx="4">
                  <c:v>0.33335245151081</c:v>
                </c:pt>
                <c:pt idx="5">
                  <c:v>4.432283992154904</c:v>
                </c:pt>
                <c:pt idx="6">
                  <c:v>3.324212994116178</c:v>
                </c:pt>
                <c:pt idx="7">
                  <c:v>2.216141996077452</c:v>
                </c:pt>
                <c:pt idx="8">
                  <c:v>1.108070998038726</c:v>
                </c:pt>
                <c:pt idx="9">
                  <c:v>0.4432283992154904</c:v>
                </c:pt>
                <c:pt idx="10">
                  <c:v>5.7910863839104207</c:v>
                </c:pt>
                <c:pt idx="11">
                  <c:v>4.3433147879328153</c:v>
                </c:pt>
                <c:pt idx="12">
                  <c:v>2.8955431919552104</c:v>
                </c:pt>
                <c:pt idx="13">
                  <c:v>1.4477715959776052</c:v>
                </c:pt>
                <c:pt idx="14">
                  <c:v>0.5791086383910421</c:v>
                </c:pt>
                <c:pt idx="15">
                  <c:v>9.5587811397075644</c:v>
                </c:pt>
                <c:pt idx="16">
                  <c:v>7.1690858547806737</c:v>
                </c:pt>
                <c:pt idx="17">
                  <c:v>4.7793905698537822</c:v>
                </c:pt>
                <c:pt idx="18">
                  <c:v>2.3896952849268911</c:v>
                </c:pt>
                <c:pt idx="19">
                  <c:v>0.9558781139707565</c:v>
                </c:pt>
                <c:pt idx="20">
                  <c:v>31.735153383829108</c:v>
                </c:pt>
                <c:pt idx="21">
                  <c:v>23.801365037871832</c:v>
                </c:pt>
                <c:pt idx="22">
                  <c:v>15.867576691914554</c:v>
                </c:pt>
                <c:pt idx="23">
                  <c:v>7.9337883459572769</c:v>
                </c:pt>
                <c:pt idx="24">
                  <c:v>3.1735153383829111</c:v>
                </c:pt>
                <c:pt idx="25">
                  <c:v>79.33788345957278</c:v>
                </c:pt>
                <c:pt idx="26">
                  <c:v>59.503412594679588</c:v>
                </c:pt>
                <c:pt idx="27">
                  <c:v>39.66894172978639</c:v>
                </c:pt>
                <c:pt idx="28">
                  <c:v>19.834470864893195</c:v>
                </c:pt>
                <c:pt idx="29">
                  <c:v>7.9337883459572787</c:v>
                </c:pt>
              </c:numCache>
            </c:numRef>
          </c:xVal>
          <c:yVal>
            <c:numRef>
              <c:f>data!$J$373:$J$402</c:f>
              <c:numCache>
                <c:formatCode>0.000</c:formatCode>
                <c:ptCount val="30"/>
                <c:pt idx="0">
                  <c:v>9.0274156212619035E-3</c:v>
                </c:pt>
                <c:pt idx="1">
                  <c:v>9.0274156212619E-3</c:v>
                </c:pt>
                <c:pt idx="2">
                  <c:v>9.0274156212619035E-3</c:v>
                </c:pt>
                <c:pt idx="3">
                  <c:v>9.0274156212619035E-3</c:v>
                </c:pt>
                <c:pt idx="4">
                  <c:v>9.0274156212619035E-3</c:v>
                </c:pt>
                <c:pt idx="5">
                  <c:v>1.0409392891500667E-2</c:v>
                </c:pt>
                <c:pt idx="6">
                  <c:v>1.0409392891500665E-2</c:v>
                </c:pt>
                <c:pt idx="7">
                  <c:v>1.0409392891500667E-2</c:v>
                </c:pt>
                <c:pt idx="8">
                  <c:v>1.0409392891500667E-2</c:v>
                </c:pt>
                <c:pt idx="9">
                  <c:v>1.0409392891500667E-2</c:v>
                </c:pt>
                <c:pt idx="10">
                  <c:v>1.1898484049353567E-2</c:v>
                </c:pt>
                <c:pt idx="11">
                  <c:v>1.1898484049353567E-2</c:v>
                </c:pt>
                <c:pt idx="12">
                  <c:v>1.1898484049353567E-2</c:v>
                </c:pt>
                <c:pt idx="13">
                  <c:v>1.1898484049353567E-2</c:v>
                </c:pt>
                <c:pt idx="14">
                  <c:v>1.1898484049353565E-2</c:v>
                </c:pt>
                <c:pt idx="15">
                  <c:v>1.5286669287505895E-2</c:v>
                </c:pt>
                <c:pt idx="16">
                  <c:v>1.5286669287505892E-2</c:v>
                </c:pt>
                <c:pt idx="17">
                  <c:v>1.5286669287505895E-2</c:v>
                </c:pt>
                <c:pt idx="18">
                  <c:v>1.5286669287505895E-2</c:v>
                </c:pt>
                <c:pt idx="19">
                  <c:v>1.5286669287505893E-2</c:v>
                </c:pt>
                <c:pt idx="20">
                  <c:v>2.7853637038033518E-2</c:v>
                </c:pt>
                <c:pt idx="21">
                  <c:v>2.7853637038033511E-2</c:v>
                </c:pt>
                <c:pt idx="22">
                  <c:v>2.7853637038033518E-2</c:v>
                </c:pt>
                <c:pt idx="23">
                  <c:v>2.7853637038033518E-2</c:v>
                </c:pt>
                <c:pt idx="24">
                  <c:v>2.7853637038033514E-2</c:v>
                </c:pt>
                <c:pt idx="25">
                  <c:v>4.4040467079905971E-2</c:v>
                </c:pt>
                <c:pt idx="26">
                  <c:v>4.4040467079905957E-2</c:v>
                </c:pt>
                <c:pt idx="27">
                  <c:v>4.4040467079905971E-2</c:v>
                </c:pt>
                <c:pt idx="28">
                  <c:v>4.4040467079905971E-2</c:v>
                </c:pt>
                <c:pt idx="29">
                  <c:v>4.4040467079905957E-2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42-AB45-B32F-03896CCF75DC}"/>
            </c:ext>
          </c:extLst>
        </c:ser>
        <c:ser>
          <c:idx val="23"/>
          <c:order val="19"/>
          <c:tx>
            <c:v>50-50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A3090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data!$H$343:$H$372</c:f>
              <c:numCache>
                <c:formatCode>0.000</c:formatCode>
                <c:ptCount val="30"/>
                <c:pt idx="0">
                  <c:v>3.1606299286955224</c:v>
                </c:pt>
                <c:pt idx="1">
                  <c:v>2.3704724465216418</c:v>
                </c:pt>
                <c:pt idx="2">
                  <c:v>1.5803149643477612</c:v>
                </c:pt>
                <c:pt idx="3">
                  <c:v>0.7901574821738806</c:v>
                </c:pt>
                <c:pt idx="4">
                  <c:v>0.31606299286955225</c:v>
                </c:pt>
                <c:pt idx="5">
                  <c:v>4.2024018046342695</c:v>
                </c:pt>
                <c:pt idx="6">
                  <c:v>3.1518013534757023</c:v>
                </c:pt>
                <c:pt idx="7">
                  <c:v>2.1012009023171347</c:v>
                </c:pt>
                <c:pt idx="8">
                  <c:v>1.0506004511585674</c:v>
                </c:pt>
                <c:pt idx="9">
                  <c:v>0.42024018046342693</c:v>
                </c:pt>
                <c:pt idx="10">
                  <c:v>5.4907293651790825</c:v>
                </c:pt>
                <c:pt idx="11">
                  <c:v>4.1180470238843121</c:v>
                </c:pt>
                <c:pt idx="12">
                  <c:v>2.7453646825895412</c:v>
                </c:pt>
                <c:pt idx="13">
                  <c:v>1.3726823412947706</c:v>
                </c:pt>
                <c:pt idx="14">
                  <c:v>0.54907293651790823</c:v>
                </c:pt>
                <c:pt idx="15">
                  <c:v>9.0630111208377642</c:v>
                </c:pt>
                <c:pt idx="16">
                  <c:v>6.7972583406283222</c:v>
                </c:pt>
                <c:pt idx="17">
                  <c:v>4.5315055604188821</c:v>
                </c:pt>
                <c:pt idx="18">
                  <c:v>2.265752780209441</c:v>
                </c:pt>
                <c:pt idx="19">
                  <c:v>0.90630111208377628</c:v>
                </c:pt>
                <c:pt idx="20">
                  <c:v>30.089196921181372</c:v>
                </c:pt>
                <c:pt idx="21">
                  <c:v>22.56689769088603</c:v>
                </c:pt>
                <c:pt idx="22">
                  <c:v>15.044598460590686</c:v>
                </c:pt>
                <c:pt idx="23">
                  <c:v>7.5222992302953431</c:v>
                </c:pt>
                <c:pt idx="24">
                  <c:v>3.0089196921181371</c:v>
                </c:pt>
                <c:pt idx="25">
                  <c:v>75.222992302953429</c:v>
                </c:pt>
                <c:pt idx="26">
                  <c:v>56.417244227215072</c:v>
                </c:pt>
                <c:pt idx="27">
                  <c:v>37.611496151476715</c:v>
                </c:pt>
                <c:pt idx="28">
                  <c:v>18.805748075738357</c:v>
                </c:pt>
                <c:pt idx="29">
                  <c:v>7.5222992302953431</c:v>
                </c:pt>
              </c:numCache>
            </c:numRef>
          </c:xVal>
          <c:yVal>
            <c:numRef>
              <c:f>data!$J$343:$J$372</c:f>
              <c:numCache>
                <c:formatCode>0.000</c:formatCode>
                <c:ptCount val="30"/>
                <c:pt idx="0">
                  <c:v>1.0178942023113645E-2</c:v>
                </c:pt>
                <c:pt idx="1">
                  <c:v>1.0178942023113641E-2</c:v>
                </c:pt>
                <c:pt idx="2">
                  <c:v>1.0178942023113645E-2</c:v>
                </c:pt>
                <c:pt idx="3">
                  <c:v>1.0178942023113645E-2</c:v>
                </c:pt>
                <c:pt idx="4">
                  <c:v>1.0178942023113641E-2</c:v>
                </c:pt>
                <c:pt idx="5">
                  <c:v>1.1737202670589503E-2</c:v>
                </c:pt>
                <c:pt idx="6">
                  <c:v>1.1737202670589499E-2</c:v>
                </c:pt>
                <c:pt idx="7">
                  <c:v>1.1737202670589503E-2</c:v>
                </c:pt>
                <c:pt idx="8">
                  <c:v>1.1737202670589503E-2</c:v>
                </c:pt>
                <c:pt idx="9">
                  <c:v>1.1737202670589501E-2</c:v>
                </c:pt>
                <c:pt idx="10">
                  <c:v>1.3416240525810906E-2</c:v>
                </c:pt>
                <c:pt idx="11">
                  <c:v>1.3416240525810906E-2</c:v>
                </c:pt>
                <c:pt idx="12">
                  <c:v>1.3416240525810906E-2</c:v>
                </c:pt>
                <c:pt idx="13">
                  <c:v>1.3416240525810906E-2</c:v>
                </c:pt>
                <c:pt idx="14">
                  <c:v>1.3416240525810908E-2</c:v>
                </c:pt>
                <c:pt idx="15">
                  <c:v>1.7236618643939595E-2</c:v>
                </c:pt>
                <c:pt idx="16">
                  <c:v>1.7236618643939595E-2</c:v>
                </c:pt>
                <c:pt idx="17">
                  <c:v>1.7236618643939595E-2</c:v>
                </c:pt>
                <c:pt idx="18">
                  <c:v>1.7236618643939595E-2</c:v>
                </c:pt>
                <c:pt idx="19">
                  <c:v>1.7236618643939595E-2</c:v>
                </c:pt>
                <c:pt idx="20">
                  <c:v>3.1406613856930395E-2</c:v>
                </c:pt>
                <c:pt idx="21">
                  <c:v>3.1406613856930395E-2</c:v>
                </c:pt>
                <c:pt idx="22">
                  <c:v>3.1406613856930395E-2</c:v>
                </c:pt>
                <c:pt idx="23">
                  <c:v>3.1406613856930395E-2</c:v>
                </c:pt>
                <c:pt idx="24">
                  <c:v>3.1406613856930395E-2</c:v>
                </c:pt>
                <c:pt idx="25">
                  <c:v>4.9658216690652832E-2</c:v>
                </c:pt>
                <c:pt idx="26">
                  <c:v>4.9658216690652825E-2</c:v>
                </c:pt>
                <c:pt idx="27">
                  <c:v>4.9658216690652832E-2</c:v>
                </c:pt>
                <c:pt idx="28">
                  <c:v>4.9658216690652832E-2</c:v>
                </c:pt>
                <c:pt idx="29">
                  <c:v>4.9658216690652825E-2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42-AB45-B32F-03896CCF75DC}"/>
            </c:ext>
          </c:extLst>
        </c:ser>
        <c:ser>
          <c:idx val="24"/>
          <c:order val="20"/>
          <c:tx>
            <c:v>30-70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E7120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data!$H$313:$H$342</c:f>
              <c:numCache>
                <c:formatCode>0.000</c:formatCode>
                <c:ptCount val="30"/>
                <c:pt idx="0">
                  <c:v>3.1771803210197507</c:v>
                </c:pt>
                <c:pt idx="1">
                  <c:v>2.3828852407648129</c:v>
                </c:pt>
                <c:pt idx="2">
                  <c:v>1.5885901605098753</c:v>
                </c:pt>
                <c:pt idx="3">
                  <c:v>0.79429508025493767</c:v>
                </c:pt>
                <c:pt idx="4">
                  <c:v>0.31771803210197508</c:v>
                </c:pt>
                <c:pt idx="5">
                  <c:v>4.2244073542050318</c:v>
                </c:pt>
                <c:pt idx="6">
                  <c:v>3.1683055156537736</c:v>
                </c:pt>
                <c:pt idx="7">
                  <c:v>2.1122036771025159</c:v>
                </c:pt>
                <c:pt idx="8">
                  <c:v>1.0561018385512579</c:v>
                </c:pt>
                <c:pt idx="9">
                  <c:v>0.42244073542050314</c:v>
                </c:pt>
                <c:pt idx="10">
                  <c:v>5.5194811416255511</c:v>
                </c:pt>
                <c:pt idx="11">
                  <c:v>4.1396108562191634</c:v>
                </c:pt>
                <c:pt idx="12">
                  <c:v>2.7597405708127756</c:v>
                </c:pt>
                <c:pt idx="13">
                  <c:v>1.3798702854063878</c:v>
                </c:pt>
                <c:pt idx="14">
                  <c:v>0.55194811416255518</c:v>
                </c:pt>
                <c:pt idx="15">
                  <c:v>9.1104688723216949</c:v>
                </c:pt>
                <c:pt idx="16">
                  <c:v>6.8328516542412707</c:v>
                </c:pt>
                <c:pt idx="17">
                  <c:v>4.5552344361608474</c:v>
                </c:pt>
                <c:pt idx="18">
                  <c:v>2.2776172180804237</c:v>
                </c:pt>
                <c:pt idx="19">
                  <c:v>0.91104688723216953</c:v>
                </c:pt>
                <c:pt idx="20">
                  <c:v>30.246756656108026</c:v>
                </c:pt>
                <c:pt idx="21">
                  <c:v>22.685067492081018</c:v>
                </c:pt>
                <c:pt idx="22">
                  <c:v>15.123378328054013</c:v>
                </c:pt>
                <c:pt idx="23">
                  <c:v>7.5616891640270065</c:v>
                </c:pt>
                <c:pt idx="24">
                  <c:v>3.0246756656108027</c:v>
                </c:pt>
                <c:pt idx="25">
                  <c:v>75.616891640270055</c:v>
                </c:pt>
                <c:pt idx="26">
                  <c:v>56.712668730202545</c:v>
                </c:pt>
                <c:pt idx="27">
                  <c:v>37.808445820135027</c:v>
                </c:pt>
                <c:pt idx="28">
                  <c:v>18.904222910067514</c:v>
                </c:pt>
                <c:pt idx="29">
                  <c:v>7.5616891640270065</c:v>
                </c:pt>
              </c:numCache>
            </c:numRef>
          </c:xVal>
          <c:yVal>
            <c:numRef>
              <c:f>data!$J$313:$J$342</c:f>
              <c:numCache>
                <c:formatCode>0.000</c:formatCode>
                <c:ptCount val="30"/>
                <c:pt idx="0">
                  <c:v>1.0237768004323451E-2</c:v>
                </c:pt>
                <c:pt idx="1">
                  <c:v>1.0237768004323449E-2</c:v>
                </c:pt>
                <c:pt idx="2">
                  <c:v>1.0237768004323451E-2</c:v>
                </c:pt>
                <c:pt idx="3">
                  <c:v>1.0237768004323451E-2</c:v>
                </c:pt>
                <c:pt idx="4">
                  <c:v>1.0237768004323449E-2</c:v>
                </c:pt>
                <c:pt idx="5">
                  <c:v>1.1805034127158163E-2</c:v>
                </c:pt>
                <c:pt idx="6">
                  <c:v>1.1805034127158163E-2</c:v>
                </c:pt>
                <c:pt idx="7">
                  <c:v>1.1805034127158163E-2</c:v>
                </c:pt>
                <c:pt idx="8">
                  <c:v>1.1805034127158163E-2</c:v>
                </c:pt>
                <c:pt idx="9">
                  <c:v>1.1805034127158165E-2</c:v>
                </c:pt>
                <c:pt idx="10">
                  <c:v>1.3493775451472682E-2</c:v>
                </c:pt>
                <c:pt idx="11">
                  <c:v>1.349377545147268E-2</c:v>
                </c:pt>
                <c:pt idx="12">
                  <c:v>1.3493775451472682E-2</c:v>
                </c:pt>
                <c:pt idx="13">
                  <c:v>1.3493775451472682E-2</c:v>
                </c:pt>
                <c:pt idx="14">
                  <c:v>1.3493775451472678E-2</c:v>
                </c:pt>
                <c:pt idx="15">
                  <c:v>1.7336232238571198E-2</c:v>
                </c:pt>
                <c:pt idx="16">
                  <c:v>1.7336232238571194E-2</c:v>
                </c:pt>
                <c:pt idx="17">
                  <c:v>1.7336232238571198E-2</c:v>
                </c:pt>
                <c:pt idx="18">
                  <c:v>1.7336232238571198E-2</c:v>
                </c:pt>
                <c:pt idx="19">
                  <c:v>1.7336232238571194E-2</c:v>
                </c:pt>
                <c:pt idx="20">
                  <c:v>3.1588118464424587E-2</c:v>
                </c:pt>
                <c:pt idx="21">
                  <c:v>3.1588118464424587E-2</c:v>
                </c:pt>
                <c:pt idx="22">
                  <c:v>3.1588118464424587E-2</c:v>
                </c:pt>
                <c:pt idx="23">
                  <c:v>3.1588118464424587E-2</c:v>
                </c:pt>
                <c:pt idx="24">
                  <c:v>3.1588118464424587E-2</c:v>
                </c:pt>
                <c:pt idx="25">
                  <c:v>4.9945200673401094E-2</c:v>
                </c:pt>
                <c:pt idx="26">
                  <c:v>4.994520067340108E-2</c:v>
                </c:pt>
                <c:pt idx="27">
                  <c:v>4.9945200673401094E-2</c:v>
                </c:pt>
                <c:pt idx="28">
                  <c:v>4.9945200673401094E-2</c:v>
                </c:pt>
                <c:pt idx="29">
                  <c:v>4.994520067340108E-2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42-AB45-B32F-03896CCF75DC}"/>
            </c:ext>
          </c:extLst>
        </c:ser>
        <c:ser>
          <c:idx val="25"/>
          <c:order val="21"/>
          <c:tx>
            <c:v>10-90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>
                  <a:alpha val="43137"/>
                </a:srgb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data!$H$283:$H$312</c:f>
              <c:numCache>
                <c:formatCode>0.000</c:formatCode>
                <c:ptCount val="30"/>
                <c:pt idx="0">
                  <c:v>4.5324236828224169</c:v>
                </c:pt>
                <c:pt idx="1">
                  <c:v>3.3993177621168127</c:v>
                </c:pt>
                <c:pt idx="2">
                  <c:v>2.2662118414112085</c:v>
                </c:pt>
                <c:pt idx="3">
                  <c:v>1.1331059207056042</c:v>
                </c:pt>
                <c:pt idx="4">
                  <c:v>0.45324236828224174</c:v>
                </c:pt>
                <c:pt idx="5">
                  <c:v>6.0263510419649995</c:v>
                </c:pt>
                <c:pt idx="6">
                  <c:v>4.5197632814737494</c:v>
                </c:pt>
                <c:pt idx="7">
                  <c:v>3.0131755209824997</c:v>
                </c:pt>
                <c:pt idx="8">
                  <c:v>1.5065877604912499</c:v>
                </c:pt>
                <c:pt idx="9">
                  <c:v>0.60263510419650002</c:v>
                </c:pt>
                <c:pt idx="10">
                  <c:v>7.8738455219834664</c:v>
                </c:pt>
                <c:pt idx="11">
                  <c:v>5.9053841414876</c:v>
                </c:pt>
                <c:pt idx="12">
                  <c:v>3.9369227609917332</c:v>
                </c:pt>
                <c:pt idx="13">
                  <c:v>1.9684613804958666</c:v>
                </c:pt>
                <c:pt idx="14">
                  <c:v>0.78738455219834669</c:v>
                </c:pt>
                <c:pt idx="15">
                  <c:v>12.996588391707652</c:v>
                </c:pt>
                <c:pt idx="16">
                  <c:v>9.7474412937807404</c:v>
                </c:pt>
                <c:pt idx="17">
                  <c:v>6.4982941958538261</c:v>
                </c:pt>
                <c:pt idx="18">
                  <c:v>3.249147097926913</c:v>
                </c:pt>
                <c:pt idx="19">
                  <c:v>1.2996588391707655</c:v>
                </c:pt>
                <c:pt idx="20">
                  <c:v>43.148673460469411</c:v>
                </c:pt>
                <c:pt idx="21">
                  <c:v>32.361505095352058</c:v>
                </c:pt>
                <c:pt idx="22">
                  <c:v>21.574336730234705</c:v>
                </c:pt>
                <c:pt idx="23">
                  <c:v>10.787168365117353</c:v>
                </c:pt>
                <c:pt idx="24">
                  <c:v>4.3148673460469409</c:v>
                </c:pt>
                <c:pt idx="25">
                  <c:v>107.87168365117351</c:v>
                </c:pt>
                <c:pt idx="26">
                  <c:v>80.903762738380138</c:v>
                </c:pt>
                <c:pt idx="27">
                  <c:v>53.935841825586756</c:v>
                </c:pt>
                <c:pt idx="28">
                  <c:v>26.967920912793378</c:v>
                </c:pt>
                <c:pt idx="29">
                  <c:v>10.787168365117353</c:v>
                </c:pt>
              </c:numCache>
            </c:numRef>
          </c:xVal>
          <c:yVal>
            <c:numRef>
              <c:f>data!$J$283:$J$312</c:f>
              <c:numCache>
                <c:formatCode>0.000</c:formatCode>
                <c:ptCount val="30"/>
                <c:pt idx="0">
                  <c:v>7.4294167401741402E-3</c:v>
                </c:pt>
                <c:pt idx="1">
                  <c:v>7.4294167401741393E-3</c:v>
                </c:pt>
                <c:pt idx="2">
                  <c:v>7.4294167401741402E-3</c:v>
                </c:pt>
                <c:pt idx="3">
                  <c:v>7.4294167401741402E-3</c:v>
                </c:pt>
                <c:pt idx="4">
                  <c:v>7.4294167401741393E-3</c:v>
                </c:pt>
                <c:pt idx="5">
                  <c:v>8.5667616345279501E-3</c:v>
                </c:pt>
                <c:pt idx="6">
                  <c:v>8.5667616345279501E-3</c:v>
                </c:pt>
                <c:pt idx="7">
                  <c:v>8.5667616345279501E-3</c:v>
                </c:pt>
                <c:pt idx="8">
                  <c:v>8.5667616345279501E-3</c:v>
                </c:pt>
                <c:pt idx="9">
                  <c:v>8.5667616345279484E-3</c:v>
                </c:pt>
                <c:pt idx="10">
                  <c:v>9.7922595222890065E-3</c:v>
                </c:pt>
                <c:pt idx="11">
                  <c:v>9.7922595222890048E-3</c:v>
                </c:pt>
                <c:pt idx="12">
                  <c:v>9.7922595222890065E-3</c:v>
                </c:pt>
                <c:pt idx="13">
                  <c:v>9.7922595222890065E-3</c:v>
                </c:pt>
                <c:pt idx="14">
                  <c:v>9.7922595222890048E-3</c:v>
                </c:pt>
                <c:pt idx="15">
                  <c:v>1.25806810576676E-2</c:v>
                </c:pt>
                <c:pt idx="16">
                  <c:v>1.2580681057667598E-2</c:v>
                </c:pt>
                <c:pt idx="17">
                  <c:v>1.25806810576676E-2</c:v>
                </c:pt>
                <c:pt idx="18">
                  <c:v>1.25806810576676E-2</c:v>
                </c:pt>
                <c:pt idx="19">
                  <c:v>1.2580681057667598E-2</c:v>
                </c:pt>
                <c:pt idx="20">
                  <c:v>2.2923091831255901E-2</c:v>
                </c:pt>
                <c:pt idx="21">
                  <c:v>2.2923091831255901E-2</c:v>
                </c:pt>
                <c:pt idx="22">
                  <c:v>2.2923091831255901E-2</c:v>
                </c:pt>
                <c:pt idx="23">
                  <c:v>2.2923091831255901E-2</c:v>
                </c:pt>
                <c:pt idx="24">
                  <c:v>2.2923091831255901E-2</c:v>
                </c:pt>
                <c:pt idx="25">
                  <c:v>3.6244590599984403E-2</c:v>
                </c:pt>
                <c:pt idx="26">
                  <c:v>3.6244590599984403E-2</c:v>
                </c:pt>
                <c:pt idx="27">
                  <c:v>3.6244590599984403E-2</c:v>
                </c:pt>
                <c:pt idx="28">
                  <c:v>3.6244590599984403E-2</c:v>
                </c:pt>
                <c:pt idx="29">
                  <c:v>3.6244590599984396E-2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42-AB45-B32F-03896CCF75DC}"/>
            </c:ext>
          </c:extLst>
        </c:ser>
        <c:ser>
          <c:idx val="26"/>
          <c:order val="22"/>
          <c:tx>
            <c:v>5-95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FF0000">
                  <a:alpha val="14118"/>
                </a:srgb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data!$H$253:$H$282</c:f>
              <c:numCache>
                <c:formatCode>0.000</c:formatCode>
                <c:ptCount val="30"/>
                <c:pt idx="0">
                  <c:v>4.7274041713231938</c:v>
                </c:pt>
                <c:pt idx="1">
                  <c:v>3.5455531284923958</c:v>
                </c:pt>
                <c:pt idx="2">
                  <c:v>2.3637020856615969</c:v>
                </c:pt>
                <c:pt idx="3">
                  <c:v>1.1818510428307984</c:v>
                </c:pt>
                <c:pt idx="4">
                  <c:v>0.4727404171323194</c:v>
                </c:pt>
                <c:pt idx="5">
                  <c:v>6.2855988423179898</c:v>
                </c:pt>
                <c:pt idx="6">
                  <c:v>4.7141991317384928</c:v>
                </c:pt>
                <c:pt idx="7">
                  <c:v>3.1427994211589949</c:v>
                </c:pt>
                <c:pt idx="8">
                  <c:v>1.5713997105794975</c:v>
                </c:pt>
                <c:pt idx="9">
                  <c:v>0.62855988423179898</c:v>
                </c:pt>
                <c:pt idx="10">
                  <c:v>8.2125707501818983</c:v>
                </c:pt>
                <c:pt idx="11">
                  <c:v>6.1594280626364242</c:v>
                </c:pt>
                <c:pt idx="12">
                  <c:v>4.1062853750909492</c:v>
                </c:pt>
                <c:pt idx="13">
                  <c:v>2.0531426875454746</c:v>
                </c:pt>
                <c:pt idx="14">
                  <c:v>0.82125707501818968</c:v>
                </c:pt>
                <c:pt idx="15">
                  <c:v>13.555689069577353</c:v>
                </c:pt>
                <c:pt idx="16">
                  <c:v>10.166766802183016</c:v>
                </c:pt>
                <c:pt idx="17">
                  <c:v>6.7778445347886764</c:v>
                </c:pt>
                <c:pt idx="18">
                  <c:v>3.3889222673943382</c:v>
                </c:pt>
                <c:pt idx="19">
                  <c:v>1.3555689069577352</c:v>
                </c:pt>
                <c:pt idx="20">
                  <c:v>45.004887710996805</c:v>
                </c:pt>
                <c:pt idx="21">
                  <c:v>33.753665783247605</c:v>
                </c:pt>
                <c:pt idx="22">
                  <c:v>22.502443855498402</c:v>
                </c:pt>
                <c:pt idx="23">
                  <c:v>11.251221927749201</c:v>
                </c:pt>
                <c:pt idx="24">
                  <c:v>4.5004887710996808</c:v>
                </c:pt>
                <c:pt idx="25">
                  <c:v>112.51221927749202</c:v>
                </c:pt>
                <c:pt idx="26">
                  <c:v>84.384164458119017</c:v>
                </c:pt>
                <c:pt idx="27">
                  <c:v>56.256109638746011</c:v>
                </c:pt>
                <c:pt idx="28">
                  <c:v>28.128054819373006</c:v>
                </c:pt>
                <c:pt idx="29">
                  <c:v>11.251221927749201</c:v>
                </c:pt>
              </c:numCache>
            </c:numRef>
          </c:xVal>
          <c:yVal>
            <c:numRef>
              <c:f>data!$J$253:$J$282</c:f>
              <c:numCache>
                <c:formatCode>0.000</c:formatCode>
                <c:ptCount val="30"/>
                <c:pt idx="0">
                  <c:v>7.1964252839247867E-3</c:v>
                </c:pt>
                <c:pt idx="1">
                  <c:v>7.1964252839247858E-3</c:v>
                </c:pt>
                <c:pt idx="2">
                  <c:v>7.1964252839247867E-3</c:v>
                </c:pt>
                <c:pt idx="3">
                  <c:v>7.1964252839247867E-3</c:v>
                </c:pt>
                <c:pt idx="4">
                  <c:v>7.1964252839247867E-3</c:v>
                </c:pt>
                <c:pt idx="5">
                  <c:v>8.2981022850292744E-3</c:v>
                </c:pt>
                <c:pt idx="6">
                  <c:v>8.2981022850292709E-3</c:v>
                </c:pt>
                <c:pt idx="7">
                  <c:v>8.2981022850292744E-3</c:v>
                </c:pt>
                <c:pt idx="8">
                  <c:v>8.2981022850292744E-3</c:v>
                </c:pt>
                <c:pt idx="9">
                  <c:v>8.2981022850292727E-3</c:v>
                </c:pt>
                <c:pt idx="10">
                  <c:v>9.4851677429663352E-3</c:v>
                </c:pt>
                <c:pt idx="11">
                  <c:v>9.4851677429663335E-3</c:v>
                </c:pt>
                <c:pt idx="12">
                  <c:v>9.4851677429663352E-3</c:v>
                </c:pt>
                <c:pt idx="13">
                  <c:v>9.4851677429663352E-3</c:v>
                </c:pt>
                <c:pt idx="14">
                  <c:v>9.4851677429663352E-3</c:v>
                </c:pt>
                <c:pt idx="15">
                  <c:v>1.2186142522174715E-2</c:v>
                </c:pt>
                <c:pt idx="16">
                  <c:v>1.2186142522174712E-2</c:v>
                </c:pt>
                <c:pt idx="17">
                  <c:v>1.2186142522174715E-2</c:v>
                </c:pt>
                <c:pt idx="18">
                  <c:v>1.2186142522174715E-2</c:v>
                </c:pt>
                <c:pt idx="19">
                  <c:v>1.2186142522174712E-2</c:v>
                </c:pt>
                <c:pt idx="20">
                  <c:v>2.2204208406851746E-2</c:v>
                </c:pt>
                <c:pt idx="21">
                  <c:v>2.2204208406851743E-2</c:v>
                </c:pt>
                <c:pt idx="22">
                  <c:v>2.2204208406851746E-2</c:v>
                </c:pt>
                <c:pt idx="23">
                  <c:v>2.2204208406851746E-2</c:v>
                </c:pt>
                <c:pt idx="24">
                  <c:v>2.2204208406851743E-2</c:v>
                </c:pt>
                <c:pt idx="25">
                  <c:v>3.5107936103355102E-2</c:v>
                </c:pt>
                <c:pt idx="26">
                  <c:v>3.5107936103355095E-2</c:v>
                </c:pt>
                <c:pt idx="27">
                  <c:v>3.5107936103355102E-2</c:v>
                </c:pt>
                <c:pt idx="28">
                  <c:v>3.5107936103355102E-2</c:v>
                </c:pt>
                <c:pt idx="29">
                  <c:v>3.5107936103355102E-2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42-AB45-B32F-03896CCF75DC}"/>
            </c:ext>
          </c:extLst>
        </c:ser>
        <c:ser>
          <c:idx val="9"/>
          <c:order val="23"/>
          <c:tx>
            <c:v>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data!#REF!</c:f>
            </c:numRef>
          </c:xVal>
          <c:y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24B-7F42-B427-A200EBB44B0B}"/>
            </c:ext>
          </c:extLst>
        </c:ser>
        <c:ser>
          <c:idx val="11"/>
          <c:order val="24"/>
          <c:tx>
            <c:v>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data!#REF!</c:f>
            </c:numRef>
          </c:xVal>
          <c:y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24B-7F42-B427-A200EBB44B0B}"/>
            </c:ext>
          </c:extLst>
        </c:ser>
        <c:ser>
          <c:idx val="20"/>
          <c:order val="25"/>
          <c:tx>
            <c:v>Silicon Oil 2 cSt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data!$H$463:$H$492</c:f>
              <c:numCache>
                <c:formatCode>0.000</c:formatCode>
                <c:ptCount val="30"/>
                <c:pt idx="0">
                  <c:v>4.4334911488526494</c:v>
                </c:pt>
                <c:pt idx="1">
                  <c:v>3.3251183616394875</c:v>
                </c:pt>
                <c:pt idx="2">
                  <c:v>2.2167455744263247</c:v>
                </c:pt>
                <c:pt idx="3">
                  <c:v>1.1083727872131623</c:v>
                </c:pt>
                <c:pt idx="4">
                  <c:v>0.44334911488526496</c:v>
                </c:pt>
                <c:pt idx="5">
                  <c:v>5.8948094604856447</c:v>
                </c:pt>
                <c:pt idx="6">
                  <c:v>4.421107095364234</c:v>
                </c:pt>
                <c:pt idx="7">
                  <c:v>2.9474047302428223</c:v>
                </c:pt>
                <c:pt idx="8">
                  <c:v>1.4737023651214112</c:v>
                </c:pt>
                <c:pt idx="9">
                  <c:v>0.58948094604856449</c:v>
                </c:pt>
                <c:pt idx="10">
                  <c:v>7.7019773242841625</c:v>
                </c:pt>
                <c:pt idx="11">
                  <c:v>5.7764829932131221</c:v>
                </c:pt>
                <c:pt idx="12">
                  <c:v>3.8509886621420812</c:v>
                </c:pt>
                <c:pt idx="13">
                  <c:v>1.9254943310710406</c:v>
                </c:pt>
                <c:pt idx="14">
                  <c:v>0.77019773242841627</c:v>
                </c:pt>
                <c:pt idx="15">
                  <c:v>12.712902330444944</c:v>
                </c:pt>
                <c:pt idx="16">
                  <c:v>9.5346767478337089</c:v>
                </c:pt>
                <c:pt idx="17">
                  <c:v>6.356451165222472</c:v>
                </c:pt>
                <c:pt idx="18">
                  <c:v>3.178225582611236</c:v>
                </c:pt>
                <c:pt idx="19">
                  <c:v>1.2712902330444944</c:v>
                </c:pt>
                <c:pt idx="20">
                  <c:v>42.20683573707722</c:v>
                </c:pt>
                <c:pt idx="21">
                  <c:v>31.655126802807917</c:v>
                </c:pt>
                <c:pt idx="22">
                  <c:v>21.10341786853861</c:v>
                </c:pt>
                <c:pt idx="23">
                  <c:v>10.551708934269305</c:v>
                </c:pt>
                <c:pt idx="24">
                  <c:v>4.2206835737077215</c:v>
                </c:pt>
                <c:pt idx="25">
                  <c:v>105.51708934269304</c:v>
                </c:pt>
                <c:pt idx="26">
                  <c:v>79.137817007019791</c:v>
                </c:pt>
                <c:pt idx="27">
                  <c:v>52.75854467134652</c:v>
                </c:pt>
                <c:pt idx="28">
                  <c:v>26.37927233567326</c:v>
                </c:pt>
                <c:pt idx="29">
                  <c:v>10.551708934269305</c:v>
                </c:pt>
              </c:numCache>
            </c:numRef>
          </c:xVal>
          <c:yVal>
            <c:numRef>
              <c:f>data!$J$463:$J$492</c:f>
              <c:numCache>
                <c:formatCode>0.000</c:formatCode>
                <c:ptCount val="30"/>
                <c:pt idx="0">
                  <c:v>9.2957023362165367E-3</c:v>
                </c:pt>
                <c:pt idx="1">
                  <c:v>9.295702336216535E-3</c:v>
                </c:pt>
                <c:pt idx="2">
                  <c:v>9.2957023362165367E-3</c:v>
                </c:pt>
                <c:pt idx="3">
                  <c:v>9.2957023362165367E-3</c:v>
                </c:pt>
                <c:pt idx="4">
                  <c:v>9.295702336216535E-3</c:v>
                </c:pt>
                <c:pt idx="5">
                  <c:v>1.0718750734398175E-2</c:v>
                </c:pt>
                <c:pt idx="6">
                  <c:v>1.0718750734398172E-2</c:v>
                </c:pt>
                <c:pt idx="7">
                  <c:v>1.0718750734398175E-2</c:v>
                </c:pt>
                <c:pt idx="8">
                  <c:v>1.0718750734398175E-2</c:v>
                </c:pt>
                <c:pt idx="9">
                  <c:v>1.0718750734398173E-2</c:v>
                </c:pt>
                <c:pt idx="10">
                  <c:v>1.2252096349093342E-2</c:v>
                </c:pt>
                <c:pt idx="11">
                  <c:v>1.225209634909334E-2</c:v>
                </c:pt>
                <c:pt idx="12">
                  <c:v>1.2252096349093342E-2</c:v>
                </c:pt>
                <c:pt idx="13">
                  <c:v>1.2252096349093342E-2</c:v>
                </c:pt>
                <c:pt idx="14">
                  <c:v>1.225209634909334E-2</c:v>
                </c:pt>
                <c:pt idx="15">
                  <c:v>1.5740975420933882E-2</c:v>
                </c:pt>
                <c:pt idx="16">
                  <c:v>1.5740975420933875E-2</c:v>
                </c:pt>
                <c:pt idx="17">
                  <c:v>1.5740975420933882E-2</c:v>
                </c:pt>
                <c:pt idx="18">
                  <c:v>1.5740975420933882E-2</c:v>
                </c:pt>
                <c:pt idx="19">
                  <c:v>1.5740975420933882E-2</c:v>
                </c:pt>
                <c:pt idx="20">
                  <c:v>2.8681422208672213E-2</c:v>
                </c:pt>
                <c:pt idx="21">
                  <c:v>2.8681422208672206E-2</c:v>
                </c:pt>
                <c:pt idx="22">
                  <c:v>2.8681422208672213E-2</c:v>
                </c:pt>
                <c:pt idx="23">
                  <c:v>2.8681422208672213E-2</c:v>
                </c:pt>
                <c:pt idx="24">
                  <c:v>2.8681422208672216E-2</c:v>
                </c:pt>
                <c:pt idx="25">
                  <c:v>4.5349310356170687E-2</c:v>
                </c:pt>
                <c:pt idx="26">
                  <c:v>4.5349310356170673E-2</c:v>
                </c:pt>
                <c:pt idx="27">
                  <c:v>4.5349310356170687E-2</c:v>
                </c:pt>
                <c:pt idx="28">
                  <c:v>4.5349310356170687E-2</c:v>
                </c:pt>
                <c:pt idx="29">
                  <c:v>4.534931035617068E-2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24B-7F42-B427-A200EBB44B0B}"/>
            </c:ext>
          </c:extLst>
        </c:ser>
        <c:ser>
          <c:idx val="19"/>
          <c:order val="26"/>
          <c:tx>
            <c:v>Silicon Oil 5 cSt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data!$H$433:$H$462</c:f>
              <c:numCache>
                <c:formatCode>0.000</c:formatCode>
                <c:ptCount val="30"/>
                <c:pt idx="0">
                  <c:v>1.7754954070414832</c:v>
                </c:pt>
                <c:pt idx="1">
                  <c:v>1.3316215552811124</c:v>
                </c:pt>
                <c:pt idx="2">
                  <c:v>0.88774770352074162</c:v>
                </c:pt>
                <c:pt idx="3">
                  <c:v>0.44387385176037081</c:v>
                </c:pt>
                <c:pt idx="4">
                  <c:v>0.1775495407041483</c:v>
                </c:pt>
                <c:pt idx="5">
                  <c:v>2.3607145635523628</c:v>
                </c:pt>
                <c:pt idx="6">
                  <c:v>1.7705359226642718</c:v>
                </c:pt>
                <c:pt idx="7">
                  <c:v>1.1803572817761814</c:v>
                </c:pt>
                <c:pt idx="8">
                  <c:v>0.59017864088809069</c:v>
                </c:pt>
                <c:pt idx="9">
                  <c:v>0.23607145635523621</c:v>
                </c:pt>
                <c:pt idx="10">
                  <c:v>3.0844372764662249</c:v>
                </c:pt>
                <c:pt idx="11">
                  <c:v>2.3133279573496686</c:v>
                </c:pt>
                <c:pt idx="12">
                  <c:v>1.5422186382331124</c:v>
                </c:pt>
                <c:pt idx="13">
                  <c:v>0.77110931911655622</c:v>
                </c:pt>
                <c:pt idx="14">
                  <c:v>0.30844372764662248</c:v>
                </c:pt>
                <c:pt idx="15">
                  <c:v>5.0911796009141321</c:v>
                </c:pt>
                <c:pt idx="16">
                  <c:v>3.8183847006855989</c:v>
                </c:pt>
                <c:pt idx="17">
                  <c:v>2.5455898004570661</c:v>
                </c:pt>
                <c:pt idx="18">
                  <c:v>1.272794900228533</c:v>
                </c:pt>
                <c:pt idx="19">
                  <c:v>0.50911796009141308</c:v>
                </c:pt>
                <c:pt idx="20">
                  <c:v>16.902716275034919</c:v>
                </c:pt>
                <c:pt idx="21">
                  <c:v>12.677037206276188</c:v>
                </c:pt>
                <c:pt idx="22">
                  <c:v>8.4513581375174596</c:v>
                </c:pt>
                <c:pt idx="23">
                  <c:v>4.2256790687587298</c:v>
                </c:pt>
                <c:pt idx="24">
                  <c:v>1.6902716275034915</c:v>
                </c:pt>
                <c:pt idx="25">
                  <c:v>42.256790687587298</c:v>
                </c:pt>
                <c:pt idx="26">
                  <c:v>31.692593015690473</c:v>
                </c:pt>
                <c:pt idx="27">
                  <c:v>21.128395343793649</c:v>
                </c:pt>
                <c:pt idx="28">
                  <c:v>10.564197671896824</c:v>
                </c:pt>
                <c:pt idx="29">
                  <c:v>4.2256790687587289</c:v>
                </c:pt>
              </c:numCache>
            </c:numRef>
          </c:xVal>
          <c:yVal>
            <c:numRef>
              <c:f>data!$J$433:$J$461</c:f>
              <c:numCache>
                <c:formatCode>0.000</c:formatCode>
                <c:ptCount val="29"/>
                <c:pt idx="0">
                  <c:v>2.2542648158367821E-2</c:v>
                </c:pt>
                <c:pt idx="1">
                  <c:v>2.2542648158367817E-2</c:v>
                </c:pt>
                <c:pt idx="2">
                  <c:v>2.2542648158367821E-2</c:v>
                </c:pt>
                <c:pt idx="3">
                  <c:v>2.2542648158367821E-2</c:v>
                </c:pt>
                <c:pt idx="4">
                  <c:v>2.2542648158367817E-2</c:v>
                </c:pt>
                <c:pt idx="5">
                  <c:v>2.5993627782312428E-2</c:v>
                </c:pt>
                <c:pt idx="6">
                  <c:v>2.5993627782312432E-2</c:v>
                </c:pt>
                <c:pt idx="7">
                  <c:v>2.5993627782312428E-2</c:v>
                </c:pt>
                <c:pt idx="8">
                  <c:v>2.5993627782312428E-2</c:v>
                </c:pt>
                <c:pt idx="9">
                  <c:v>2.5993627782312435E-2</c:v>
                </c:pt>
                <c:pt idx="10">
                  <c:v>2.971208491949719E-2</c:v>
                </c:pt>
                <c:pt idx="11">
                  <c:v>2.9712084919497186E-2</c:v>
                </c:pt>
                <c:pt idx="12">
                  <c:v>2.971208491949719E-2</c:v>
                </c:pt>
                <c:pt idx="13">
                  <c:v>2.971208491949719E-2</c:v>
                </c:pt>
                <c:pt idx="14">
                  <c:v>2.971208491949719E-2</c:v>
                </c:pt>
                <c:pt idx="15">
                  <c:v>3.8172830599484724E-2</c:v>
                </c:pt>
                <c:pt idx="16">
                  <c:v>3.8172830599484717E-2</c:v>
                </c:pt>
                <c:pt idx="17">
                  <c:v>3.8172830599484724E-2</c:v>
                </c:pt>
                <c:pt idx="18">
                  <c:v>3.8172830599484724E-2</c:v>
                </c:pt>
                <c:pt idx="19">
                  <c:v>3.8172830599484731E-2</c:v>
                </c:pt>
                <c:pt idx="20">
                  <c:v>6.9554207540906521E-2</c:v>
                </c:pt>
                <c:pt idx="21">
                  <c:v>6.9554207540906521E-2</c:v>
                </c:pt>
                <c:pt idx="22">
                  <c:v>6.9554207540906521E-2</c:v>
                </c:pt>
                <c:pt idx="23">
                  <c:v>6.9554207540906521E-2</c:v>
                </c:pt>
                <c:pt idx="24">
                  <c:v>6.9554207540906535E-2</c:v>
                </c:pt>
                <c:pt idx="25">
                  <c:v>0.10997485833866186</c:v>
                </c:pt>
                <c:pt idx="26">
                  <c:v>0.10997485833866186</c:v>
                </c:pt>
                <c:pt idx="27">
                  <c:v>0.10997485833866186</c:v>
                </c:pt>
                <c:pt idx="28">
                  <c:v>0.10997485833866186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24B-7F42-B427-A200EBB44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956368"/>
        <c:axId val="352958080"/>
      </c:scatterChart>
      <c:valAx>
        <c:axId val="352956368"/>
        <c:scaling>
          <c:orientation val="minMax"/>
          <c:max val="8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0">
                    <a:solidFill>
                      <a:schemeClr val="tx1"/>
                    </a:solidFill>
                  </a:rPr>
                  <a:t>Reynolds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958080"/>
        <c:crossesAt val="1E-3"/>
        <c:crossBetween val="midCat"/>
      </c:valAx>
      <c:valAx>
        <c:axId val="352958080"/>
        <c:scaling>
          <c:logBase val="10"/>
          <c:orientation val="minMax"/>
          <c:max val="10"/>
          <c:min val="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>
                    <a:solidFill>
                      <a:schemeClr val="tx1"/>
                    </a:solidFill>
                  </a:rPr>
                  <a:t>Ohnesorge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956368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914559075538596"/>
          <c:y val="5.0299403569211351E-2"/>
          <c:w val="0.17007395183634189"/>
          <c:h val="0.740119748225741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479112154544025E-2"/>
          <c:y val="3.1370190645129206E-2"/>
          <c:w val="0.70695314459414182"/>
          <c:h val="0.86298208819749689"/>
        </c:manualLayout>
      </c:layout>
      <c:scatterChart>
        <c:scatterStyle val="lineMarker"/>
        <c:varyColors val="0"/>
        <c:ser>
          <c:idx val="2"/>
          <c:order val="0"/>
          <c:tx>
            <c:v>water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data!$H$31:$H$56</c:f>
              <c:numCache>
                <c:formatCode>0.000</c:formatCode>
                <c:ptCount val="26"/>
                <c:pt idx="0">
                  <c:v>15.489532174393707</c:v>
                </c:pt>
                <c:pt idx="1">
                  <c:v>15.489532174393707</c:v>
                </c:pt>
                <c:pt idx="2">
                  <c:v>7.7447660871968536</c:v>
                </c:pt>
                <c:pt idx="3">
                  <c:v>7.7447660871968536</c:v>
                </c:pt>
                <c:pt idx="4">
                  <c:v>3.8723830435984268</c:v>
                </c:pt>
                <c:pt idx="5">
                  <c:v>3.8723830435984268</c:v>
                </c:pt>
                <c:pt idx="6">
                  <c:v>1.548953217439371</c:v>
                </c:pt>
                <c:pt idx="7">
                  <c:v>1.548953217439371</c:v>
                </c:pt>
                <c:pt idx="8">
                  <c:v>11.61714913079528</c:v>
                </c:pt>
                <c:pt idx="9">
                  <c:v>11.61714913079528</c:v>
                </c:pt>
                <c:pt idx="10">
                  <c:v>19.175294348421126</c:v>
                </c:pt>
                <c:pt idx="11">
                  <c:v>19.175294348421126</c:v>
                </c:pt>
                <c:pt idx="12">
                  <c:v>25.56705913122817</c:v>
                </c:pt>
                <c:pt idx="13">
                  <c:v>12.783529565614085</c:v>
                </c:pt>
                <c:pt idx="14">
                  <c:v>6.3917647828070425</c:v>
                </c:pt>
                <c:pt idx="15">
                  <c:v>2.5567059131228169</c:v>
                </c:pt>
                <c:pt idx="16">
                  <c:v>84.88263631567753</c:v>
                </c:pt>
                <c:pt idx="17">
                  <c:v>42.441318157838765</c:v>
                </c:pt>
                <c:pt idx="18">
                  <c:v>63.661977236758148</c:v>
                </c:pt>
                <c:pt idx="19">
                  <c:v>21.220659078919383</c:v>
                </c:pt>
                <c:pt idx="20">
                  <c:v>8.4882636315677527</c:v>
                </c:pt>
                <c:pt idx="21">
                  <c:v>212.2065907891938</c:v>
                </c:pt>
                <c:pt idx="22">
                  <c:v>159.15494309189535</c:v>
                </c:pt>
                <c:pt idx="23">
                  <c:v>106.1032953945969</c:v>
                </c:pt>
                <c:pt idx="24">
                  <c:v>53.051647697298449</c:v>
                </c:pt>
                <c:pt idx="25">
                  <c:v>21.220659078919383</c:v>
                </c:pt>
              </c:numCache>
            </c:numRef>
          </c:xVal>
          <c:yVal>
            <c:numRef>
              <c:f>data!$J$31:$J$56</c:f>
              <c:numCache>
                <c:formatCode>0.000</c:formatCode>
                <c:ptCount val="26"/>
                <c:pt idx="0">
                  <c:v>3.1840029995869588E-3</c:v>
                </c:pt>
                <c:pt idx="1">
                  <c:v>3.1840029995869588E-3</c:v>
                </c:pt>
                <c:pt idx="2">
                  <c:v>3.1840029995869588E-3</c:v>
                </c:pt>
                <c:pt idx="3">
                  <c:v>3.1840029995869588E-3</c:v>
                </c:pt>
                <c:pt idx="4">
                  <c:v>3.1840029995869588E-3</c:v>
                </c:pt>
                <c:pt idx="5">
                  <c:v>3.1840029995869588E-3</c:v>
                </c:pt>
                <c:pt idx="6">
                  <c:v>3.1840029995869584E-3</c:v>
                </c:pt>
                <c:pt idx="7">
                  <c:v>3.1840029995869584E-3</c:v>
                </c:pt>
                <c:pt idx="8">
                  <c:v>3.1840029995869588E-3</c:v>
                </c:pt>
                <c:pt idx="9">
                  <c:v>3.1840029995869588E-3</c:v>
                </c:pt>
                <c:pt idx="10">
                  <c:v>4.0906724472817993E-3</c:v>
                </c:pt>
                <c:pt idx="11">
                  <c:v>4.0906724472817993E-3</c:v>
                </c:pt>
                <c:pt idx="12">
                  <c:v>4.0906724472817993E-3</c:v>
                </c:pt>
                <c:pt idx="13">
                  <c:v>4.0906724472817993E-3</c:v>
                </c:pt>
                <c:pt idx="14">
                  <c:v>4.0906724472817993E-3</c:v>
                </c:pt>
                <c:pt idx="15">
                  <c:v>4.0906724472817993E-3</c:v>
                </c:pt>
                <c:pt idx="16">
                  <c:v>7.4535599249992996E-3</c:v>
                </c:pt>
                <c:pt idx="17">
                  <c:v>7.4535599249992996E-3</c:v>
                </c:pt>
                <c:pt idx="18">
                  <c:v>7.4535599249992979E-3</c:v>
                </c:pt>
                <c:pt idx="19">
                  <c:v>7.4535599249992996E-3</c:v>
                </c:pt>
                <c:pt idx="20">
                  <c:v>7.4535599249992979E-3</c:v>
                </c:pt>
                <c:pt idx="21">
                  <c:v>1.1785113019775794E-2</c:v>
                </c:pt>
                <c:pt idx="22">
                  <c:v>1.1785113019775792E-2</c:v>
                </c:pt>
                <c:pt idx="23">
                  <c:v>1.1785113019775794E-2</c:v>
                </c:pt>
                <c:pt idx="24">
                  <c:v>1.1785113019775794E-2</c:v>
                </c:pt>
                <c:pt idx="25">
                  <c:v>1.178511301977579E-2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A-0449-8C6D-9923124B2875}"/>
            </c:ext>
          </c:extLst>
        </c:ser>
        <c:ser>
          <c:idx val="10"/>
          <c:order val="1"/>
          <c:tx>
            <c:v>water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data!$H$171:$H$180</c:f>
              <c:numCache>
                <c:formatCode>0.000</c:formatCode>
                <c:ptCount val="10"/>
                <c:pt idx="0">
                  <c:v>11.855116803865576</c:v>
                </c:pt>
                <c:pt idx="1">
                  <c:v>8.8913376028991813</c:v>
                </c:pt>
                <c:pt idx="2">
                  <c:v>5.9275584019327878</c:v>
                </c:pt>
                <c:pt idx="3">
                  <c:v>2.9637792009663939</c:v>
                </c:pt>
                <c:pt idx="4">
                  <c:v>1.1855116803865577</c:v>
                </c:pt>
                <c:pt idx="5">
                  <c:v>0.89162433104703298</c:v>
                </c:pt>
                <c:pt idx="6">
                  <c:v>2.2290608276175825</c:v>
                </c:pt>
                <c:pt idx="7">
                  <c:v>4.458121655235165</c:v>
                </c:pt>
                <c:pt idx="8">
                  <c:v>6.6871824828527471</c:v>
                </c:pt>
                <c:pt idx="9">
                  <c:v>8.91624331047033</c:v>
                </c:pt>
              </c:numCache>
            </c:numRef>
          </c:xVal>
          <c:yVal>
            <c:numRef>
              <c:f>data!$J$171:$J$180</c:f>
              <c:numCache>
                <c:formatCode>0.000</c:formatCode>
                <c:ptCount val="10"/>
                <c:pt idx="0">
                  <c:v>2.7855261269369817E-3</c:v>
                </c:pt>
                <c:pt idx="1">
                  <c:v>2.7855261269369813E-3</c:v>
                </c:pt>
                <c:pt idx="2">
                  <c:v>2.7855261269369817E-3</c:v>
                </c:pt>
                <c:pt idx="3">
                  <c:v>2.7855261269369817E-3</c:v>
                </c:pt>
                <c:pt idx="4">
                  <c:v>2.7855261269369809E-3</c:v>
                </c:pt>
                <c:pt idx="5">
                  <c:v>2.415712648551868E-3</c:v>
                </c:pt>
                <c:pt idx="6">
                  <c:v>2.415712648551868E-3</c:v>
                </c:pt>
                <c:pt idx="7">
                  <c:v>2.415712648551868E-3</c:v>
                </c:pt>
                <c:pt idx="8">
                  <c:v>2.415712648551868E-3</c:v>
                </c:pt>
                <c:pt idx="9">
                  <c:v>2.415712648551868E-3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8A-0449-8C6D-9923124B2875}"/>
            </c:ext>
          </c:extLst>
        </c:ser>
        <c:ser>
          <c:idx val="3"/>
          <c:order val="2"/>
          <c:tx>
            <c:v>90-10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data!$H$57:$H$77</c:f>
              <c:numCache>
                <c:formatCode>0.000</c:formatCode>
                <c:ptCount val="21"/>
                <c:pt idx="0">
                  <c:v>10.377986556843783</c:v>
                </c:pt>
                <c:pt idx="1">
                  <c:v>7.7834899176328376</c:v>
                </c:pt>
                <c:pt idx="2">
                  <c:v>5.1889932784218917</c:v>
                </c:pt>
                <c:pt idx="3">
                  <c:v>2.5944966392109459</c:v>
                </c:pt>
                <c:pt idx="4">
                  <c:v>1.0377986556843783</c:v>
                </c:pt>
                <c:pt idx="5">
                  <c:v>1.7129929617922872</c:v>
                </c:pt>
                <c:pt idx="6">
                  <c:v>17.129929617922873</c:v>
                </c:pt>
                <c:pt idx="7">
                  <c:v>12.847447213442155</c:v>
                </c:pt>
                <c:pt idx="8">
                  <c:v>8.5649648089614363</c:v>
                </c:pt>
                <c:pt idx="9">
                  <c:v>4.2824824044807182</c:v>
                </c:pt>
                <c:pt idx="10">
                  <c:v>14.217841582875984</c:v>
                </c:pt>
                <c:pt idx="11">
                  <c:v>14.217841582875984</c:v>
                </c:pt>
                <c:pt idx="12">
                  <c:v>28.435683165751968</c:v>
                </c:pt>
                <c:pt idx="13">
                  <c:v>42.653524748627952</c:v>
                </c:pt>
                <c:pt idx="14">
                  <c:v>5.6871366331503941</c:v>
                </c:pt>
                <c:pt idx="15">
                  <c:v>56.871366331503935</c:v>
                </c:pt>
                <c:pt idx="16">
                  <c:v>142.17841582875985</c:v>
                </c:pt>
                <c:pt idx="17">
                  <c:v>106.63381187156989</c:v>
                </c:pt>
                <c:pt idx="18">
                  <c:v>71.089207914379926</c:v>
                </c:pt>
                <c:pt idx="19">
                  <c:v>35.544603957189963</c:v>
                </c:pt>
                <c:pt idx="20">
                  <c:v>14.217841582875984</c:v>
                </c:pt>
              </c:numCache>
            </c:numRef>
          </c:xVal>
          <c:yVal>
            <c:numRef>
              <c:f>data!$J$57:$J$77</c:f>
              <c:numCache>
                <c:formatCode>0.000</c:formatCode>
                <c:ptCount val="21"/>
                <c:pt idx="0">
                  <c:v>4.7807377809577362E-3</c:v>
                </c:pt>
                <c:pt idx="1">
                  <c:v>4.7807377809577353E-3</c:v>
                </c:pt>
                <c:pt idx="2">
                  <c:v>4.7807377809577362E-3</c:v>
                </c:pt>
                <c:pt idx="3">
                  <c:v>4.7807377809577362E-3</c:v>
                </c:pt>
                <c:pt idx="4">
                  <c:v>4.7807377809577362E-3</c:v>
                </c:pt>
                <c:pt idx="5">
                  <c:v>6.1420897909894813E-3</c:v>
                </c:pt>
                <c:pt idx="6">
                  <c:v>6.1420897909894813E-3</c:v>
                </c:pt>
                <c:pt idx="7">
                  <c:v>6.1420897909894795E-3</c:v>
                </c:pt>
                <c:pt idx="8">
                  <c:v>6.1420897909894813E-3</c:v>
                </c:pt>
                <c:pt idx="9">
                  <c:v>6.1420897909894813E-3</c:v>
                </c:pt>
                <c:pt idx="10">
                  <c:v>1.1191420215589991E-2</c:v>
                </c:pt>
                <c:pt idx="11">
                  <c:v>1.1191420215589991E-2</c:v>
                </c:pt>
                <c:pt idx="12">
                  <c:v>1.1191420215589991E-2</c:v>
                </c:pt>
                <c:pt idx="13">
                  <c:v>1.1191420215589991E-2</c:v>
                </c:pt>
                <c:pt idx="14">
                  <c:v>1.1191420215589989E-2</c:v>
                </c:pt>
                <c:pt idx="15">
                  <c:v>1.1191420215589991E-2</c:v>
                </c:pt>
                <c:pt idx="16">
                  <c:v>1.7695189066658505E-2</c:v>
                </c:pt>
                <c:pt idx="17">
                  <c:v>1.7695189066658505E-2</c:v>
                </c:pt>
                <c:pt idx="18">
                  <c:v>1.7695189066658505E-2</c:v>
                </c:pt>
                <c:pt idx="19">
                  <c:v>1.7695189066658505E-2</c:v>
                </c:pt>
                <c:pt idx="20">
                  <c:v>1.7695189066658505E-2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8A-0449-8C6D-9923124B2875}"/>
            </c:ext>
          </c:extLst>
        </c:ser>
        <c:ser>
          <c:idx val="12"/>
          <c:order val="3"/>
          <c:tx>
            <c:v>90-10 water &amp; glycerine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data!$H$181:$H$190</c:f>
              <c:numCache>
                <c:formatCode>0.000</c:formatCode>
                <c:ptCount val="10"/>
                <c:pt idx="0">
                  <c:v>0.79429282585899375</c:v>
                </c:pt>
                <c:pt idx="1">
                  <c:v>1.9857320646474843</c:v>
                </c:pt>
                <c:pt idx="2">
                  <c:v>3.9714641292949686</c:v>
                </c:pt>
                <c:pt idx="3">
                  <c:v>5.9571961939424529</c:v>
                </c:pt>
                <c:pt idx="4">
                  <c:v>7.9429282585899372</c:v>
                </c:pt>
                <c:pt idx="5">
                  <c:v>5.9738830180151199</c:v>
                </c:pt>
                <c:pt idx="6">
                  <c:v>4.4804122635113401</c:v>
                </c:pt>
                <c:pt idx="7">
                  <c:v>2.9869415090075599</c:v>
                </c:pt>
                <c:pt idx="8">
                  <c:v>1.49347075450378</c:v>
                </c:pt>
                <c:pt idx="9">
                  <c:v>0.59738830180151203</c:v>
                </c:pt>
              </c:numCache>
            </c:numRef>
          </c:xVal>
          <c:yVal>
            <c:numRef>
              <c:f>data!$J$181:$J$190</c:f>
              <c:numCache>
                <c:formatCode>0.000</c:formatCode>
                <c:ptCount val="10"/>
                <c:pt idx="0">
                  <c:v>4.1824301034326956E-3</c:v>
                </c:pt>
                <c:pt idx="1">
                  <c:v>4.1824301034326964E-3</c:v>
                </c:pt>
                <c:pt idx="2">
                  <c:v>4.1824301034326964E-3</c:v>
                </c:pt>
                <c:pt idx="3">
                  <c:v>4.1824301034326956E-3</c:v>
                </c:pt>
                <c:pt idx="4">
                  <c:v>4.1824301034326964E-3</c:v>
                </c:pt>
                <c:pt idx="5">
                  <c:v>3.6271601277911994E-3</c:v>
                </c:pt>
                <c:pt idx="6">
                  <c:v>3.627160127791199E-3</c:v>
                </c:pt>
                <c:pt idx="7">
                  <c:v>3.6271601277911994E-3</c:v>
                </c:pt>
                <c:pt idx="8">
                  <c:v>3.6271601277911994E-3</c:v>
                </c:pt>
                <c:pt idx="9">
                  <c:v>3.6271601277911986E-3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8A-0449-8C6D-9923124B2875}"/>
            </c:ext>
          </c:extLst>
        </c:ser>
        <c:ser>
          <c:idx val="5"/>
          <c:order val="4"/>
          <c:tx>
            <c:v>70-30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data!$H$100:$H$120</c:f>
              <c:numCache>
                <c:formatCode>0.000</c:formatCode>
                <c:ptCount val="21"/>
                <c:pt idx="0">
                  <c:v>4.2858982328969732</c:v>
                </c:pt>
                <c:pt idx="1">
                  <c:v>2.857265488597982</c:v>
                </c:pt>
                <c:pt idx="2">
                  <c:v>1.428632744298991</c:v>
                </c:pt>
                <c:pt idx="3">
                  <c:v>0.5714530977195964</c:v>
                </c:pt>
                <c:pt idx="4">
                  <c:v>0.94324186009138222</c:v>
                </c:pt>
                <c:pt idx="5">
                  <c:v>2.3581046502284555</c:v>
                </c:pt>
                <c:pt idx="6">
                  <c:v>4.716209300456911</c:v>
                </c:pt>
                <c:pt idx="7">
                  <c:v>7.0743139506853661</c:v>
                </c:pt>
                <c:pt idx="8">
                  <c:v>9.432418600913822</c:v>
                </c:pt>
                <c:pt idx="9">
                  <c:v>31.315629755033882</c:v>
                </c:pt>
                <c:pt idx="10">
                  <c:v>23.486722316275412</c:v>
                </c:pt>
                <c:pt idx="11">
                  <c:v>15.657814877516941</c:v>
                </c:pt>
                <c:pt idx="12">
                  <c:v>7.8289074387584705</c:v>
                </c:pt>
                <c:pt idx="13">
                  <c:v>3.1315629755033885</c:v>
                </c:pt>
                <c:pt idx="14">
                  <c:v>7.8289074387584714</c:v>
                </c:pt>
                <c:pt idx="15">
                  <c:v>19.572268596896176</c:v>
                </c:pt>
                <c:pt idx="16">
                  <c:v>39.144537193792353</c:v>
                </c:pt>
                <c:pt idx="17">
                  <c:v>58.716805790688532</c:v>
                </c:pt>
                <c:pt idx="18">
                  <c:v>58.716805790688532</c:v>
                </c:pt>
                <c:pt idx="19">
                  <c:v>78.289074387584705</c:v>
                </c:pt>
                <c:pt idx="20">
                  <c:v>58.716805790688532</c:v>
                </c:pt>
              </c:numCache>
            </c:numRef>
          </c:xVal>
          <c:yVal>
            <c:numRef>
              <c:f>data!$J$99:$J$120</c:f>
              <c:numCache>
                <c:formatCode>0.000</c:formatCode>
                <c:ptCount val="22"/>
                <c:pt idx="0">
                  <c:v>8.9473523380634249E-3</c:v>
                </c:pt>
                <c:pt idx="1">
                  <c:v>8.9473523380634232E-3</c:v>
                </c:pt>
                <c:pt idx="2">
                  <c:v>8.9473523380634249E-3</c:v>
                </c:pt>
                <c:pt idx="3">
                  <c:v>8.9473523380634249E-3</c:v>
                </c:pt>
                <c:pt idx="4">
                  <c:v>8.9473523380634232E-3</c:v>
                </c:pt>
                <c:pt idx="5">
                  <c:v>1.1495180026584905E-2</c:v>
                </c:pt>
                <c:pt idx="6">
                  <c:v>1.1495180026584907E-2</c:v>
                </c:pt>
                <c:pt idx="7">
                  <c:v>1.1495180026584907E-2</c:v>
                </c:pt>
                <c:pt idx="8">
                  <c:v>1.1495180026584907E-2</c:v>
                </c:pt>
                <c:pt idx="9">
                  <c:v>1.1495180026584907E-2</c:v>
                </c:pt>
                <c:pt idx="10">
                  <c:v>2.0945214822501602E-2</c:v>
                </c:pt>
                <c:pt idx="11">
                  <c:v>2.0945214822501598E-2</c:v>
                </c:pt>
                <c:pt idx="12">
                  <c:v>2.0945214822501602E-2</c:v>
                </c:pt>
                <c:pt idx="13">
                  <c:v>2.0945214822501602E-2</c:v>
                </c:pt>
                <c:pt idx="14">
                  <c:v>2.0945214822501602E-2</c:v>
                </c:pt>
                <c:pt idx="15">
                  <c:v>3.3117292460312205E-2</c:v>
                </c:pt>
                <c:pt idx="16">
                  <c:v>3.3117292460312212E-2</c:v>
                </c:pt>
                <c:pt idx="17">
                  <c:v>3.3117292460312212E-2</c:v>
                </c:pt>
                <c:pt idx="18">
                  <c:v>3.3117292460312205E-2</c:v>
                </c:pt>
                <c:pt idx="19">
                  <c:v>3.3117292460312205E-2</c:v>
                </c:pt>
                <c:pt idx="20">
                  <c:v>3.3117292460312212E-2</c:v>
                </c:pt>
                <c:pt idx="21">
                  <c:v>3.3117292460312205E-2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8A-0449-8C6D-9923124B2875}"/>
            </c:ext>
          </c:extLst>
        </c:ser>
        <c:ser>
          <c:idx val="13"/>
          <c:order val="5"/>
          <c:tx>
            <c:v>70-30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data!$H$191:$H$200</c:f>
              <c:numCache>
                <c:formatCode>0.000</c:formatCode>
                <c:ptCount val="10"/>
                <c:pt idx="0">
                  <c:v>4.3736913065689773</c:v>
                </c:pt>
                <c:pt idx="1">
                  <c:v>3.2802684799267334</c:v>
                </c:pt>
                <c:pt idx="2">
                  <c:v>2.1868456532844887</c:v>
                </c:pt>
                <c:pt idx="3">
                  <c:v>1.0934228266422443</c:v>
                </c:pt>
                <c:pt idx="4">
                  <c:v>0.43736913065689775</c:v>
                </c:pt>
                <c:pt idx="5">
                  <c:v>3.2894569070413744</c:v>
                </c:pt>
                <c:pt idx="6">
                  <c:v>2.4670926802810307</c:v>
                </c:pt>
                <c:pt idx="7">
                  <c:v>1.6447284535206872</c:v>
                </c:pt>
                <c:pt idx="8">
                  <c:v>0.8223642267603436</c:v>
                </c:pt>
                <c:pt idx="9">
                  <c:v>0.32894569070413748</c:v>
                </c:pt>
              </c:numCache>
            </c:numRef>
          </c:xVal>
          <c:yVal>
            <c:numRef>
              <c:f>data!$J$191:$J$200</c:f>
              <c:numCache>
                <c:formatCode>0.000</c:formatCode>
                <c:ptCount val="10"/>
                <c:pt idx="0">
                  <c:v>7.8275942917828533E-3</c:v>
                </c:pt>
                <c:pt idx="1">
                  <c:v>7.8275942917828516E-3</c:v>
                </c:pt>
                <c:pt idx="2">
                  <c:v>7.8275942917828533E-3</c:v>
                </c:pt>
                <c:pt idx="3">
                  <c:v>7.8275942917828533E-3</c:v>
                </c:pt>
                <c:pt idx="4">
                  <c:v>7.8275942917828516E-3</c:v>
                </c:pt>
                <c:pt idx="5">
                  <c:v>6.7883831192727629E-3</c:v>
                </c:pt>
                <c:pt idx="6">
                  <c:v>6.7883831192727621E-3</c:v>
                </c:pt>
                <c:pt idx="7">
                  <c:v>6.7883831192727629E-3</c:v>
                </c:pt>
                <c:pt idx="8">
                  <c:v>6.7883831192727629E-3</c:v>
                </c:pt>
                <c:pt idx="9">
                  <c:v>6.7883831192727621E-3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8A-0449-8C6D-9923124B2875}"/>
            </c:ext>
          </c:extLst>
        </c:ser>
        <c:ser>
          <c:idx val="4"/>
          <c:order val="6"/>
          <c:tx>
            <c:v>50-50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data!$H$78:$H$98</c:f>
              <c:numCache>
                <c:formatCode>0.000</c:formatCode>
                <c:ptCount val="21"/>
                <c:pt idx="0">
                  <c:v>0.24646579136314689</c:v>
                </c:pt>
                <c:pt idx="1">
                  <c:v>0.61616447840786726</c:v>
                </c:pt>
                <c:pt idx="2">
                  <c:v>1.2323289568157345</c:v>
                </c:pt>
                <c:pt idx="3">
                  <c:v>1.8484934352236018</c:v>
                </c:pt>
                <c:pt idx="4">
                  <c:v>2.464657913631469</c:v>
                </c:pt>
                <c:pt idx="5">
                  <c:v>0.40681702911748352</c:v>
                </c:pt>
                <c:pt idx="6">
                  <c:v>1.0170425727937089</c:v>
                </c:pt>
                <c:pt idx="7">
                  <c:v>2.0340851455874178</c:v>
                </c:pt>
                <c:pt idx="8">
                  <c:v>3.0511277183811263</c:v>
                </c:pt>
                <c:pt idx="9">
                  <c:v>4.0681702911748356</c:v>
                </c:pt>
                <c:pt idx="10">
                  <c:v>13.506325366700452</c:v>
                </c:pt>
                <c:pt idx="11">
                  <c:v>10.129744025025339</c:v>
                </c:pt>
                <c:pt idx="12">
                  <c:v>6.7531626833502258</c:v>
                </c:pt>
                <c:pt idx="13">
                  <c:v>3.3765813416751129</c:v>
                </c:pt>
                <c:pt idx="14">
                  <c:v>1.3506325366700451</c:v>
                </c:pt>
                <c:pt idx="15">
                  <c:v>33.765813416751129</c:v>
                </c:pt>
                <c:pt idx="16">
                  <c:v>25.324360062563343</c:v>
                </c:pt>
                <c:pt idx="17">
                  <c:v>16.882906708375565</c:v>
                </c:pt>
                <c:pt idx="18">
                  <c:v>8.4414533541877823</c:v>
                </c:pt>
                <c:pt idx="19">
                  <c:v>3.3765813416751125</c:v>
                </c:pt>
                <c:pt idx="20">
                  <c:v>3.3765813416751125</c:v>
                </c:pt>
              </c:numCache>
            </c:numRef>
          </c:xVal>
          <c:yVal>
            <c:numRef>
              <c:f>data!$J$78:$J$98</c:f>
              <c:numCache>
                <c:formatCode>0.000</c:formatCode>
                <c:ptCount val="21"/>
                <c:pt idx="0">
                  <c:v>2.1513201771659114E-2</c:v>
                </c:pt>
                <c:pt idx="1">
                  <c:v>2.1513201771659111E-2</c:v>
                </c:pt>
                <c:pt idx="2">
                  <c:v>2.1513201771659111E-2</c:v>
                </c:pt>
                <c:pt idx="3">
                  <c:v>2.1513201771659111E-2</c:v>
                </c:pt>
                <c:pt idx="4">
                  <c:v>2.1513201771659111E-2</c:v>
                </c:pt>
                <c:pt idx="5">
                  <c:v>2.7639252146293852E-2</c:v>
                </c:pt>
                <c:pt idx="6">
                  <c:v>2.7639252146293852E-2</c:v>
                </c:pt>
                <c:pt idx="7">
                  <c:v>2.7639252146293852E-2</c:v>
                </c:pt>
                <c:pt idx="8">
                  <c:v>2.7639252146293852E-2</c:v>
                </c:pt>
                <c:pt idx="9">
                  <c:v>2.7639252146293852E-2</c:v>
                </c:pt>
                <c:pt idx="10">
                  <c:v>5.0361114171206339E-2</c:v>
                </c:pt>
                <c:pt idx="11">
                  <c:v>5.0361114171206332E-2</c:v>
                </c:pt>
                <c:pt idx="12">
                  <c:v>5.0361114171206339E-2</c:v>
                </c:pt>
                <c:pt idx="13">
                  <c:v>5.0361114171206339E-2</c:v>
                </c:pt>
                <c:pt idx="14">
                  <c:v>5.0361114171206339E-2</c:v>
                </c:pt>
                <c:pt idx="15">
                  <c:v>7.9627913142397491E-2</c:v>
                </c:pt>
                <c:pt idx="16">
                  <c:v>7.9627913142397505E-2</c:v>
                </c:pt>
                <c:pt idx="17">
                  <c:v>7.9627913142397491E-2</c:v>
                </c:pt>
                <c:pt idx="18">
                  <c:v>7.9627913142397491E-2</c:v>
                </c:pt>
                <c:pt idx="19">
                  <c:v>7.9627913142397505E-2</c:v>
                </c:pt>
                <c:pt idx="20">
                  <c:v>7.9627913142397505E-2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08A-0449-8C6D-9923124B2875}"/>
            </c:ext>
          </c:extLst>
        </c:ser>
        <c:ser>
          <c:idx val="1"/>
          <c:order val="7"/>
          <c:tx>
            <c:v>50-50 water &amp; Glycerine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data!$H$21:$H$30</c:f>
              <c:numCache>
                <c:formatCode>0.000</c:formatCode>
                <c:ptCount val="10"/>
                <c:pt idx="0">
                  <c:v>1.2323289568157345</c:v>
                </c:pt>
                <c:pt idx="1">
                  <c:v>0.61616447840786726</c:v>
                </c:pt>
                <c:pt idx="2">
                  <c:v>0.24646579136314689</c:v>
                </c:pt>
                <c:pt idx="3">
                  <c:v>0.12323289568157345</c:v>
                </c:pt>
                <c:pt idx="4">
                  <c:v>2.0340851455874178</c:v>
                </c:pt>
                <c:pt idx="5">
                  <c:v>1.0170425727937089</c:v>
                </c:pt>
                <c:pt idx="6">
                  <c:v>0.40681702911748352</c:v>
                </c:pt>
                <c:pt idx="7">
                  <c:v>0.20340851455874176</c:v>
                </c:pt>
                <c:pt idx="8">
                  <c:v>6.7531626833502258</c:v>
                </c:pt>
                <c:pt idx="9">
                  <c:v>3.3765813416751129</c:v>
                </c:pt>
              </c:numCache>
            </c:numRef>
          </c:xVal>
          <c:yVal>
            <c:numRef>
              <c:f>data!$J$21:$J$30</c:f>
              <c:numCache>
                <c:formatCode>0.000</c:formatCode>
                <c:ptCount val="10"/>
                <c:pt idx="0">
                  <c:v>2.1513201771659111E-2</c:v>
                </c:pt>
                <c:pt idx="1">
                  <c:v>2.1513201771659111E-2</c:v>
                </c:pt>
                <c:pt idx="2">
                  <c:v>2.1513201771659114E-2</c:v>
                </c:pt>
                <c:pt idx="3">
                  <c:v>2.1513201771659114E-2</c:v>
                </c:pt>
                <c:pt idx="4">
                  <c:v>2.7639252146293852E-2</c:v>
                </c:pt>
                <c:pt idx="5">
                  <c:v>2.7639252146293852E-2</c:v>
                </c:pt>
                <c:pt idx="6">
                  <c:v>2.7639252146293852E-2</c:v>
                </c:pt>
                <c:pt idx="7">
                  <c:v>2.7639252146293852E-2</c:v>
                </c:pt>
                <c:pt idx="8">
                  <c:v>5.0361114171206339E-2</c:v>
                </c:pt>
                <c:pt idx="9">
                  <c:v>5.0361114171206339E-2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08A-0449-8C6D-9923124B2875}"/>
            </c:ext>
          </c:extLst>
        </c:ser>
        <c:ser>
          <c:idx val="14"/>
          <c:order val="8"/>
          <c:tx>
            <c:v>50-50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data!$H$201:$H$210</c:f>
              <c:numCache>
                <c:formatCode>0.000</c:formatCode>
                <c:ptCount val="10"/>
                <c:pt idx="0">
                  <c:v>0.18863582914386104</c:v>
                </c:pt>
                <c:pt idx="1">
                  <c:v>0.47158957285965264</c:v>
                </c:pt>
                <c:pt idx="2">
                  <c:v>0.94317914571930528</c:v>
                </c:pt>
                <c:pt idx="3">
                  <c:v>1.4147687185789577</c:v>
                </c:pt>
                <c:pt idx="4">
                  <c:v>1.8863582914386106</c:v>
                </c:pt>
                <c:pt idx="5">
                  <c:v>1.4187316561660142</c:v>
                </c:pt>
                <c:pt idx="6">
                  <c:v>1.0640487421245104</c:v>
                </c:pt>
                <c:pt idx="7">
                  <c:v>0.70936582808300708</c:v>
                </c:pt>
                <c:pt idx="8">
                  <c:v>0.35468291404150354</c:v>
                </c:pt>
                <c:pt idx="9">
                  <c:v>0.1418731656166014</c:v>
                </c:pt>
              </c:numCache>
            </c:numRef>
          </c:xVal>
          <c:yVal>
            <c:numRef>
              <c:f>data!$J$201:$J$210</c:f>
              <c:numCache>
                <c:formatCode>0.000</c:formatCode>
                <c:ptCount val="10"/>
                <c:pt idx="0">
                  <c:v>1.8820832020823221E-2</c:v>
                </c:pt>
                <c:pt idx="1">
                  <c:v>1.8820832020823221E-2</c:v>
                </c:pt>
                <c:pt idx="2">
                  <c:v>1.8820832020823221E-2</c:v>
                </c:pt>
                <c:pt idx="3">
                  <c:v>1.8820832020823217E-2</c:v>
                </c:pt>
                <c:pt idx="4">
                  <c:v>1.8820832020823221E-2</c:v>
                </c:pt>
                <c:pt idx="5">
                  <c:v>1.6322130864005809E-2</c:v>
                </c:pt>
                <c:pt idx="6">
                  <c:v>1.6322130864005812E-2</c:v>
                </c:pt>
                <c:pt idx="7">
                  <c:v>1.6322130864005809E-2</c:v>
                </c:pt>
                <c:pt idx="8">
                  <c:v>1.6322130864005809E-2</c:v>
                </c:pt>
                <c:pt idx="9">
                  <c:v>1.6322130864005809E-2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08A-0449-8C6D-9923124B2875}"/>
            </c:ext>
          </c:extLst>
        </c:ser>
        <c:ser>
          <c:idx val="6"/>
          <c:order val="9"/>
          <c:tx>
            <c:v>30-70 water &amp; Glycerine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data!$H$121:$H$140</c:f>
              <c:numCache>
                <c:formatCode>0.000</c:formatCode>
                <c:ptCount val="20"/>
                <c:pt idx="0">
                  <c:v>0.54425225512459341</c:v>
                </c:pt>
                <c:pt idx="1">
                  <c:v>0.40818919134344506</c:v>
                </c:pt>
                <c:pt idx="2">
                  <c:v>0.2721261275622967</c:v>
                </c:pt>
                <c:pt idx="3">
                  <c:v>0.13606306378114835</c:v>
                </c:pt>
                <c:pt idx="4">
                  <c:v>5.442522551245934E-2</c:v>
                </c:pt>
                <c:pt idx="5">
                  <c:v>8.9834408375987121E-2</c:v>
                </c:pt>
                <c:pt idx="6">
                  <c:v>0.2245860209399678</c:v>
                </c:pt>
                <c:pt idx="7">
                  <c:v>0.44917204187993559</c:v>
                </c:pt>
                <c:pt idx="8">
                  <c:v>0.67375806281990347</c:v>
                </c:pt>
                <c:pt idx="9">
                  <c:v>0.89834408375987118</c:v>
                </c:pt>
                <c:pt idx="10">
                  <c:v>2.9825023580827725</c:v>
                </c:pt>
                <c:pt idx="11">
                  <c:v>2.2368767685620794</c:v>
                </c:pt>
                <c:pt idx="12">
                  <c:v>1.4912511790413863</c:v>
                </c:pt>
                <c:pt idx="13">
                  <c:v>0.74562558952069313</c:v>
                </c:pt>
                <c:pt idx="14">
                  <c:v>0.29825023580827725</c:v>
                </c:pt>
                <c:pt idx="15">
                  <c:v>7.4562558952069304</c:v>
                </c:pt>
                <c:pt idx="16">
                  <c:v>5.5921919214051981</c:v>
                </c:pt>
                <c:pt idx="17">
                  <c:v>3.7281279476034652</c:v>
                </c:pt>
                <c:pt idx="18">
                  <c:v>1.8640639738017326</c:v>
                </c:pt>
                <c:pt idx="19">
                  <c:v>0.74562558952069302</c:v>
                </c:pt>
              </c:numCache>
            </c:numRef>
          </c:xVal>
          <c:yVal>
            <c:numRef>
              <c:f>data!$J$121:$J$141</c:f>
              <c:numCache>
                <c:formatCode>0.000</c:formatCode>
                <c:ptCount val="21"/>
                <c:pt idx="0">
                  <c:v>0.10191632393703294</c:v>
                </c:pt>
                <c:pt idx="1">
                  <c:v>0.10191632393703293</c:v>
                </c:pt>
                <c:pt idx="2">
                  <c:v>0.10191632393703294</c:v>
                </c:pt>
                <c:pt idx="3">
                  <c:v>0.10191632393703294</c:v>
                </c:pt>
                <c:pt idx="4">
                  <c:v>0.10191632393703294</c:v>
                </c:pt>
                <c:pt idx="5">
                  <c:v>0.13093778439013715</c:v>
                </c:pt>
                <c:pt idx="6">
                  <c:v>0.13093778439013717</c:v>
                </c:pt>
                <c:pt idx="7">
                  <c:v>0.13093778439013717</c:v>
                </c:pt>
                <c:pt idx="8">
                  <c:v>0.13093778439013715</c:v>
                </c:pt>
                <c:pt idx="9">
                  <c:v>0.13093778439013717</c:v>
                </c:pt>
                <c:pt idx="10">
                  <c:v>0.23857999753733236</c:v>
                </c:pt>
                <c:pt idx="11">
                  <c:v>0.23857999753733233</c:v>
                </c:pt>
                <c:pt idx="12">
                  <c:v>0.23857999753733236</c:v>
                </c:pt>
                <c:pt idx="13">
                  <c:v>0.23857999753733236</c:v>
                </c:pt>
                <c:pt idx="14">
                  <c:v>0.23857999753733236</c:v>
                </c:pt>
                <c:pt idx="15">
                  <c:v>0.37722809818766662</c:v>
                </c:pt>
                <c:pt idx="16">
                  <c:v>0.37722809818766645</c:v>
                </c:pt>
                <c:pt idx="17">
                  <c:v>0.37722809818766662</c:v>
                </c:pt>
                <c:pt idx="18">
                  <c:v>0.37722809818766662</c:v>
                </c:pt>
                <c:pt idx="19">
                  <c:v>0.37722809818766651</c:v>
                </c:pt>
                <c:pt idx="20">
                  <c:v>0.69331599267936017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08A-0449-8C6D-9923124B2875}"/>
            </c:ext>
          </c:extLst>
        </c:ser>
        <c:ser>
          <c:idx val="15"/>
          <c:order val="10"/>
          <c:tx>
            <c:v>30-70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data!$H$211:$H$220</c:f>
              <c:numCache>
                <c:formatCode>0.000</c:formatCode>
                <c:ptCount val="10"/>
                <c:pt idx="0">
                  <c:v>4.1655060867077827E-2</c:v>
                </c:pt>
                <c:pt idx="1">
                  <c:v>0.10413765216769456</c:v>
                </c:pt>
                <c:pt idx="2">
                  <c:v>0.20827530433538913</c:v>
                </c:pt>
                <c:pt idx="3">
                  <c:v>0.31241295650308371</c:v>
                </c:pt>
                <c:pt idx="4">
                  <c:v>0.41655060867077826</c:v>
                </c:pt>
                <c:pt idx="5">
                  <c:v>0.31328806282382066</c:v>
                </c:pt>
                <c:pt idx="6">
                  <c:v>0.23496604711786551</c:v>
                </c:pt>
                <c:pt idx="7">
                  <c:v>0.15664403141191033</c:v>
                </c:pt>
                <c:pt idx="8">
                  <c:v>7.8322015705955164E-2</c:v>
                </c:pt>
                <c:pt idx="9">
                  <c:v>3.132880628238207E-2</c:v>
                </c:pt>
              </c:numCache>
            </c:numRef>
          </c:xVal>
          <c:yVal>
            <c:numRef>
              <c:f>data!$J$211:$J$220</c:f>
              <c:numCache>
                <c:formatCode>0.000</c:formatCode>
                <c:ptCount val="10"/>
                <c:pt idx="0">
                  <c:v>8.9161531294036298E-2</c:v>
                </c:pt>
                <c:pt idx="1">
                  <c:v>8.9161531294036325E-2</c:v>
                </c:pt>
                <c:pt idx="2">
                  <c:v>8.9161531294036325E-2</c:v>
                </c:pt>
                <c:pt idx="3">
                  <c:v>8.9161531294036298E-2</c:v>
                </c:pt>
                <c:pt idx="4">
                  <c:v>8.9161531294036325E-2</c:v>
                </c:pt>
                <c:pt idx="5">
                  <c:v>7.7324221384382524E-2</c:v>
                </c:pt>
                <c:pt idx="6">
                  <c:v>7.7324221384382497E-2</c:v>
                </c:pt>
                <c:pt idx="7">
                  <c:v>7.7324221384382524E-2</c:v>
                </c:pt>
                <c:pt idx="8">
                  <c:v>7.7324221384382524E-2</c:v>
                </c:pt>
                <c:pt idx="9">
                  <c:v>7.732422138438251E-2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08A-0449-8C6D-9923124B2875}"/>
            </c:ext>
          </c:extLst>
        </c:ser>
        <c:ser>
          <c:idx val="7"/>
          <c:order val="11"/>
          <c:tx>
            <c:v>10-90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2">
                  <a:lumMod val="9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data!$H$141:$H$155</c:f>
              <c:numCache>
                <c:formatCode>0.000</c:formatCode>
                <c:ptCount val="15"/>
                <c:pt idx="0">
                  <c:v>8.2987009339488271E-2</c:v>
                </c:pt>
                <c:pt idx="1">
                  <c:v>6.224025700461621E-2</c:v>
                </c:pt>
                <c:pt idx="2">
                  <c:v>4.1493504669744136E-2</c:v>
                </c:pt>
                <c:pt idx="3">
                  <c:v>2.0746752334872068E-2</c:v>
                </c:pt>
                <c:pt idx="4">
                  <c:v>8.2987009339488289E-3</c:v>
                </c:pt>
                <c:pt idx="5">
                  <c:v>1.3697855758445661E-2</c:v>
                </c:pt>
                <c:pt idx="6">
                  <c:v>3.4244639396114149E-2</c:v>
                </c:pt>
                <c:pt idx="7">
                  <c:v>6.8489278792228298E-2</c:v>
                </c:pt>
                <c:pt idx="8">
                  <c:v>0.10273391818834245</c:v>
                </c:pt>
                <c:pt idx="9">
                  <c:v>0.1369785575844566</c:v>
                </c:pt>
                <c:pt idx="10">
                  <c:v>0.4547688111803958</c:v>
                </c:pt>
                <c:pt idx="11">
                  <c:v>0.34107660838529685</c:v>
                </c:pt>
                <c:pt idx="12">
                  <c:v>0.2273844055901979</c:v>
                </c:pt>
                <c:pt idx="13">
                  <c:v>0.11369220279509895</c:v>
                </c:pt>
                <c:pt idx="14">
                  <c:v>4.5476881118039582E-2</c:v>
                </c:pt>
              </c:numCache>
            </c:numRef>
          </c:xVal>
          <c:yVal>
            <c:numRef>
              <c:f>data!$J$141:$J$155</c:f>
              <c:numCache>
                <c:formatCode>0.000</c:formatCode>
                <c:ptCount val="15"/>
                <c:pt idx="0">
                  <c:v>0.69331599267936017</c:v>
                </c:pt>
                <c:pt idx="1">
                  <c:v>0.69331599267935984</c:v>
                </c:pt>
                <c:pt idx="2">
                  <c:v>0.69331599267936017</c:v>
                </c:pt>
                <c:pt idx="3">
                  <c:v>0.69331599267936017</c:v>
                </c:pt>
                <c:pt idx="4">
                  <c:v>0.69331599267935984</c:v>
                </c:pt>
                <c:pt idx="5">
                  <c:v>0.89074307683793053</c:v>
                </c:pt>
                <c:pt idx="6">
                  <c:v>0.89074307683793053</c:v>
                </c:pt>
                <c:pt idx="7">
                  <c:v>0.89074307683793053</c:v>
                </c:pt>
                <c:pt idx="8">
                  <c:v>0.89074307683793053</c:v>
                </c:pt>
                <c:pt idx="9">
                  <c:v>0.89074307683793053</c:v>
                </c:pt>
                <c:pt idx="10">
                  <c:v>1.6230111275229187</c:v>
                </c:pt>
                <c:pt idx="11">
                  <c:v>1.6230111275229187</c:v>
                </c:pt>
                <c:pt idx="12">
                  <c:v>1.6230111275229187</c:v>
                </c:pt>
                <c:pt idx="13">
                  <c:v>1.6230111275229187</c:v>
                </c:pt>
                <c:pt idx="14">
                  <c:v>1.6230111275229189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08A-0449-8C6D-9923124B2875}"/>
            </c:ext>
          </c:extLst>
        </c:ser>
        <c:ser>
          <c:idx val="16"/>
          <c:order val="12"/>
          <c:tx>
            <c:v>10-90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2">
                  <a:lumMod val="9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data!$H$221:$H$230</c:f>
              <c:numCache>
                <c:formatCode>0.000</c:formatCode>
                <c:ptCount val="10"/>
                <c:pt idx="0">
                  <c:v>6.3515197092234049E-2</c:v>
                </c:pt>
                <c:pt idx="1">
                  <c:v>4.7636397819175537E-2</c:v>
                </c:pt>
                <c:pt idx="2">
                  <c:v>3.1757598546117025E-2</c:v>
                </c:pt>
                <c:pt idx="3">
                  <c:v>1.5878799273058512E-2</c:v>
                </c:pt>
                <c:pt idx="4">
                  <c:v>6.3515197092234047E-3</c:v>
                </c:pt>
                <c:pt idx="5">
                  <c:v>4.7769833107184433E-2</c:v>
                </c:pt>
                <c:pt idx="6">
                  <c:v>3.582737483038833E-2</c:v>
                </c:pt>
                <c:pt idx="7">
                  <c:v>2.3884916553592216E-2</c:v>
                </c:pt>
                <c:pt idx="8">
                  <c:v>1.1942458276796108E-2</c:v>
                </c:pt>
                <c:pt idx="9">
                  <c:v>4.7769833107184443E-3</c:v>
                </c:pt>
              </c:numCache>
            </c:numRef>
          </c:xVal>
          <c:yVal>
            <c:numRef>
              <c:f>data!$J$221:$J$230</c:f>
              <c:numCache>
                <c:formatCode>0.000</c:formatCode>
                <c:ptCount val="10"/>
                <c:pt idx="0">
                  <c:v>0.60654773631875836</c:v>
                </c:pt>
                <c:pt idx="1">
                  <c:v>0.60654773631875825</c:v>
                </c:pt>
                <c:pt idx="2">
                  <c:v>0.60654773631875836</c:v>
                </c:pt>
                <c:pt idx="3">
                  <c:v>0.60654773631875836</c:v>
                </c:pt>
                <c:pt idx="4">
                  <c:v>0.60654773631875836</c:v>
                </c:pt>
                <c:pt idx="5">
                  <c:v>0.52602092811347645</c:v>
                </c:pt>
                <c:pt idx="6">
                  <c:v>0.52602092811347634</c:v>
                </c:pt>
                <c:pt idx="7">
                  <c:v>0.52602092811347645</c:v>
                </c:pt>
                <c:pt idx="8">
                  <c:v>0.52602092811347645</c:v>
                </c:pt>
                <c:pt idx="9">
                  <c:v>0.52602092811347623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08A-0449-8C6D-9923124B2875}"/>
            </c:ext>
          </c:extLst>
        </c:ser>
        <c:ser>
          <c:idx val="8"/>
          <c:order val="13"/>
          <c:tx>
            <c:v>5-95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data!$H$156:$H$170</c:f>
              <c:numCache>
                <c:formatCode>0.000</c:formatCode>
                <c:ptCount val="15"/>
                <c:pt idx="0">
                  <c:v>3.7704580594704641E-2</c:v>
                </c:pt>
                <c:pt idx="1">
                  <c:v>2.8278435446028483E-2</c:v>
                </c:pt>
                <c:pt idx="2">
                  <c:v>1.8852290297352321E-2</c:v>
                </c:pt>
                <c:pt idx="3">
                  <c:v>9.4261451486761603E-3</c:v>
                </c:pt>
                <c:pt idx="4">
                  <c:v>3.770458059470465E-3</c:v>
                </c:pt>
                <c:pt idx="5">
                  <c:v>6.2235271584030576E-3</c:v>
                </c:pt>
                <c:pt idx="6">
                  <c:v>1.5558817896007642E-2</c:v>
                </c:pt>
                <c:pt idx="7">
                  <c:v>3.1117635792015284E-2</c:v>
                </c:pt>
                <c:pt idx="8">
                  <c:v>4.667645368802293E-2</c:v>
                </c:pt>
                <c:pt idx="9">
                  <c:v>6.2235271584030569E-2</c:v>
                </c:pt>
                <c:pt idx="10">
                  <c:v>0.15496582624423616</c:v>
                </c:pt>
                <c:pt idx="11">
                  <c:v>0.20662110165898151</c:v>
                </c:pt>
                <c:pt idx="12">
                  <c:v>0.10331055082949075</c:v>
                </c:pt>
                <c:pt idx="13">
                  <c:v>5.1655275414745377E-2</c:v>
                </c:pt>
                <c:pt idx="14">
                  <c:v>2.0662110165898154E-2</c:v>
                </c:pt>
              </c:numCache>
            </c:numRef>
          </c:xVal>
          <c:yVal>
            <c:numRef>
              <c:f>data!$J$156:$J$170</c:f>
              <c:numCache>
                <c:formatCode>0.000</c:formatCode>
                <c:ptCount val="15"/>
                <c:pt idx="0">
                  <c:v>1.5471577742432081</c:v>
                </c:pt>
                <c:pt idx="1">
                  <c:v>1.5471577742432077</c:v>
                </c:pt>
                <c:pt idx="2">
                  <c:v>1.5471577742432081</c:v>
                </c:pt>
                <c:pt idx="3">
                  <c:v>1.5471577742432081</c:v>
                </c:pt>
                <c:pt idx="4">
                  <c:v>1.5471577742432074</c:v>
                </c:pt>
                <c:pt idx="5">
                  <c:v>1.9877229008626986</c:v>
                </c:pt>
                <c:pt idx="6">
                  <c:v>1.9877229008626991</c:v>
                </c:pt>
                <c:pt idx="7">
                  <c:v>1.9877229008626991</c:v>
                </c:pt>
                <c:pt idx="8">
                  <c:v>1.9877229008626986</c:v>
                </c:pt>
                <c:pt idx="9">
                  <c:v>1.9877229008626991</c:v>
                </c:pt>
                <c:pt idx="10">
                  <c:v>3.6218034924107276</c:v>
                </c:pt>
                <c:pt idx="11">
                  <c:v>3.6218034924107294</c:v>
                </c:pt>
                <c:pt idx="12">
                  <c:v>3.6218034924107294</c:v>
                </c:pt>
                <c:pt idx="13">
                  <c:v>3.6218034924107294</c:v>
                </c:pt>
                <c:pt idx="14">
                  <c:v>3.6218034924107285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08A-0449-8C6D-9923124B2875}"/>
            </c:ext>
          </c:extLst>
        </c:ser>
        <c:ser>
          <c:idx val="17"/>
          <c:order val="14"/>
          <c:tx>
            <c:v>5-95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data!$H$231:$H$240</c:f>
              <c:numCache>
                <c:formatCode>0.000</c:formatCode>
                <c:ptCount val="10"/>
                <c:pt idx="0">
                  <c:v>2.8857695762427579E-2</c:v>
                </c:pt>
                <c:pt idx="1">
                  <c:v>2.1643271821820687E-2</c:v>
                </c:pt>
                <c:pt idx="2">
                  <c:v>1.4428847881213789E-2</c:v>
                </c:pt>
                <c:pt idx="3">
                  <c:v>7.2144239406068946E-3</c:v>
                </c:pt>
                <c:pt idx="4">
                  <c:v>2.8857695762427582E-3</c:v>
                </c:pt>
                <c:pt idx="5">
                  <c:v>1.6277922924814722E-2</c:v>
                </c:pt>
                <c:pt idx="6">
                  <c:v>2.1703897233086297E-2</c:v>
                </c:pt>
                <c:pt idx="7">
                  <c:v>1.0851948616543148E-2</c:v>
                </c:pt>
                <c:pt idx="8">
                  <c:v>5.4259743082715741E-3</c:v>
                </c:pt>
                <c:pt idx="9">
                  <c:v>2.1703897233086296E-3</c:v>
                </c:pt>
              </c:numCache>
            </c:numRef>
          </c:xVal>
          <c:yVal>
            <c:numRef>
              <c:f>data!$J$231:$J$240</c:f>
              <c:numCache>
                <c:formatCode>0.000</c:formatCode>
                <c:ptCount val="10"/>
                <c:pt idx="0">
                  <c:v>1.3535315146396494</c:v>
                </c:pt>
                <c:pt idx="1">
                  <c:v>1.3535315146396492</c:v>
                </c:pt>
                <c:pt idx="2">
                  <c:v>1.3535315146396494</c:v>
                </c:pt>
                <c:pt idx="3">
                  <c:v>1.3535315146396494</c:v>
                </c:pt>
                <c:pt idx="4">
                  <c:v>1.3535315146396492</c:v>
                </c:pt>
                <c:pt idx="5">
                  <c:v>1.173833254877434</c:v>
                </c:pt>
                <c:pt idx="6">
                  <c:v>1.173833254877434</c:v>
                </c:pt>
                <c:pt idx="7">
                  <c:v>1.173833254877434</c:v>
                </c:pt>
                <c:pt idx="8">
                  <c:v>1.173833254877434</c:v>
                </c:pt>
                <c:pt idx="9">
                  <c:v>1.1738332548774337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08A-0449-8C6D-9923124B2875}"/>
            </c:ext>
          </c:extLst>
        </c:ser>
        <c:ser>
          <c:idx val="0"/>
          <c:order val="15"/>
          <c:tx>
            <c:v>Glycerine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data!$H$3:$H$20</c:f>
              <c:numCache>
                <c:formatCode>0.000</c:formatCode>
                <c:ptCount val="18"/>
                <c:pt idx="0">
                  <c:v>7.1596059828308682E-3</c:v>
                </c:pt>
                <c:pt idx="1">
                  <c:v>3.5798029914154341E-3</c:v>
                </c:pt>
                <c:pt idx="2">
                  <c:v>1.4319211965661736E-3</c:v>
                </c:pt>
                <c:pt idx="3">
                  <c:v>7.1596059828308678E-4</c:v>
                </c:pt>
                <c:pt idx="4">
                  <c:v>3.5798029914154339E-4</c:v>
                </c:pt>
                <c:pt idx="5">
                  <c:v>7.1596059828308682E-3</c:v>
                </c:pt>
                <c:pt idx="6">
                  <c:v>3.5798029914154341E-3</c:v>
                </c:pt>
                <c:pt idx="7">
                  <c:v>1.4319211965661736E-3</c:v>
                </c:pt>
                <c:pt idx="8">
                  <c:v>7.1596059828308678E-4</c:v>
                </c:pt>
                <c:pt idx="9">
                  <c:v>1.1817662887323242E-2</c:v>
                </c:pt>
                <c:pt idx="10">
                  <c:v>5.9088314436616211E-3</c:v>
                </c:pt>
                <c:pt idx="11">
                  <c:v>2.3635325774646484E-3</c:v>
                </c:pt>
                <c:pt idx="12">
                  <c:v>1.1817662887323242E-3</c:v>
                </c:pt>
                <c:pt idx="13">
                  <c:v>1.1817662887323242E-2</c:v>
                </c:pt>
                <c:pt idx="14">
                  <c:v>5.9088314436616211E-3</c:v>
                </c:pt>
                <c:pt idx="15">
                  <c:v>2.3635325774646484E-3</c:v>
                </c:pt>
                <c:pt idx="16">
                  <c:v>3.9234640785913162E-2</c:v>
                </c:pt>
                <c:pt idx="17">
                  <c:v>7.8469281571826324E-2</c:v>
                </c:pt>
              </c:numCache>
            </c:numRef>
          </c:xVal>
          <c:yVal>
            <c:numRef>
              <c:f>data!$J$3:$J$20</c:f>
              <c:numCache>
                <c:formatCode>0.000</c:formatCode>
                <c:ptCount val="18"/>
                <c:pt idx="0">
                  <c:v>4.1198971123156687</c:v>
                </c:pt>
                <c:pt idx="1">
                  <c:v>4.1198971123156687</c:v>
                </c:pt>
                <c:pt idx="2">
                  <c:v>4.1198971123156687</c:v>
                </c:pt>
                <c:pt idx="3">
                  <c:v>4.1198971123156687</c:v>
                </c:pt>
                <c:pt idx="4">
                  <c:v>4.1198971123156687</c:v>
                </c:pt>
                <c:pt idx="5">
                  <c:v>4.1198971123156687</c:v>
                </c:pt>
                <c:pt idx="6">
                  <c:v>4.1198971123156687</c:v>
                </c:pt>
                <c:pt idx="7">
                  <c:v>4.1198971123156687</c:v>
                </c:pt>
                <c:pt idx="8">
                  <c:v>4.1198971123156687</c:v>
                </c:pt>
                <c:pt idx="9">
                  <c:v>5.2930696375511621</c:v>
                </c:pt>
                <c:pt idx="10">
                  <c:v>5.2930696375511621</c:v>
                </c:pt>
                <c:pt idx="11">
                  <c:v>5.2930696375511612</c:v>
                </c:pt>
                <c:pt idx="12">
                  <c:v>5.2930696375511612</c:v>
                </c:pt>
                <c:pt idx="13">
                  <c:v>5.2930696375511621</c:v>
                </c:pt>
                <c:pt idx="14">
                  <c:v>5.2930696375511621</c:v>
                </c:pt>
                <c:pt idx="15">
                  <c:v>5.2930696375511612</c:v>
                </c:pt>
                <c:pt idx="16">
                  <c:v>9.6444318725390499</c:v>
                </c:pt>
                <c:pt idx="17">
                  <c:v>9.6444318725390499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08A-0449-8C6D-9923124B2875}"/>
            </c:ext>
          </c:extLst>
        </c:ser>
        <c:ser>
          <c:idx val="18"/>
          <c:order val="16"/>
          <c:tx>
            <c:v>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data!$H$241:$H$252</c:f>
              <c:numCache>
                <c:formatCode>0.000</c:formatCode>
                <c:ptCount val="12"/>
                <c:pt idx="0">
                  <c:v>1.0959396867573509E-2</c:v>
                </c:pt>
                <c:pt idx="1">
                  <c:v>1.0959396867573509E-2</c:v>
                </c:pt>
                <c:pt idx="2">
                  <c:v>8.219547650680132E-3</c:v>
                </c:pt>
                <c:pt idx="3">
                  <c:v>1.0959396867573509E-2</c:v>
                </c:pt>
                <c:pt idx="4">
                  <c:v>5.4796984337867546E-3</c:v>
                </c:pt>
                <c:pt idx="5">
                  <c:v>2.7398492168933773E-3</c:v>
                </c:pt>
                <c:pt idx="6">
                  <c:v>1.0959396867573511E-3</c:v>
                </c:pt>
                <c:pt idx="7">
                  <c:v>8.242571593679237E-4</c:v>
                </c:pt>
                <c:pt idx="8">
                  <c:v>2.0606428984198091E-3</c:v>
                </c:pt>
                <c:pt idx="9">
                  <c:v>4.1212857968396183E-3</c:v>
                </c:pt>
                <c:pt idx="10">
                  <c:v>6.1819286952594279E-3</c:v>
                </c:pt>
                <c:pt idx="11">
                  <c:v>8.2425715936792366E-3</c:v>
                </c:pt>
              </c:numCache>
            </c:numRef>
          </c:xVal>
          <c:yVal>
            <c:numRef>
              <c:f>data!$J$241:$J$252</c:f>
              <c:numCache>
                <c:formatCode>0.000</c:formatCode>
                <c:ptCount val="12"/>
                <c:pt idx="0">
                  <c:v>3.6042934155954756</c:v>
                </c:pt>
                <c:pt idx="1">
                  <c:v>3.6042934155954756</c:v>
                </c:pt>
                <c:pt idx="2">
                  <c:v>3.6042934155954747</c:v>
                </c:pt>
                <c:pt idx="3">
                  <c:v>3.6042934155954756</c:v>
                </c:pt>
                <c:pt idx="4">
                  <c:v>3.6042934155954756</c:v>
                </c:pt>
                <c:pt idx="5">
                  <c:v>3.6042934155954756</c:v>
                </c:pt>
                <c:pt idx="6">
                  <c:v>3.6042934155954747</c:v>
                </c:pt>
                <c:pt idx="7">
                  <c:v>3.1257783256624925</c:v>
                </c:pt>
                <c:pt idx="8">
                  <c:v>3.1257783256624929</c:v>
                </c:pt>
                <c:pt idx="9">
                  <c:v>3.1257783256624929</c:v>
                </c:pt>
                <c:pt idx="10">
                  <c:v>3.1257783256624925</c:v>
                </c:pt>
                <c:pt idx="11">
                  <c:v>3.1257783256624929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08A-0449-8C6D-9923124B2875}"/>
            </c:ext>
          </c:extLst>
        </c:ser>
        <c:ser>
          <c:idx val="21"/>
          <c:order val="17"/>
          <c:tx>
            <c:v>90-10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A00029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data!$H$403:$H$432</c:f>
              <c:numCache>
                <c:formatCode>0.000</c:formatCode>
                <c:ptCount val="30"/>
                <c:pt idx="0">
                  <c:v>5.9648648299702298</c:v>
                </c:pt>
                <c:pt idx="1">
                  <c:v>4.4736486224776719</c:v>
                </c:pt>
                <c:pt idx="2">
                  <c:v>2.9824324149851149</c:v>
                </c:pt>
                <c:pt idx="3">
                  <c:v>1.4912162074925575</c:v>
                </c:pt>
                <c:pt idx="4">
                  <c:v>0.59648648299702289</c:v>
                </c:pt>
                <c:pt idx="5">
                  <c:v>7.9309375951559486</c:v>
                </c:pt>
                <c:pt idx="6">
                  <c:v>5.9482031963669604</c:v>
                </c:pt>
                <c:pt idx="7">
                  <c:v>3.9654687975779743</c:v>
                </c:pt>
                <c:pt idx="8">
                  <c:v>1.9827343987889872</c:v>
                </c:pt>
                <c:pt idx="9">
                  <c:v>0.79309375951559469</c:v>
                </c:pt>
                <c:pt idx="10">
                  <c:v>10.362319923597916</c:v>
                </c:pt>
                <c:pt idx="11">
                  <c:v>7.7717399426984368</c:v>
                </c:pt>
                <c:pt idx="12">
                  <c:v>5.1811599617989579</c:v>
                </c:pt>
                <c:pt idx="13">
                  <c:v>2.5905799808994789</c:v>
                </c:pt>
                <c:pt idx="14">
                  <c:v>1.0362319923597916</c:v>
                </c:pt>
                <c:pt idx="15">
                  <c:v>17.104070235336323</c:v>
                </c:pt>
                <c:pt idx="16">
                  <c:v>12.82805267650224</c:v>
                </c:pt>
                <c:pt idx="17">
                  <c:v>8.5520351176681615</c:v>
                </c:pt>
                <c:pt idx="18">
                  <c:v>4.2760175588340807</c:v>
                </c:pt>
                <c:pt idx="19">
                  <c:v>1.7104070235336319</c:v>
                </c:pt>
                <c:pt idx="20">
                  <c:v>56.785513181316588</c:v>
                </c:pt>
                <c:pt idx="21">
                  <c:v>42.589134885987434</c:v>
                </c:pt>
                <c:pt idx="22">
                  <c:v>28.392756590658294</c:v>
                </c:pt>
                <c:pt idx="23">
                  <c:v>14.196378295329147</c:v>
                </c:pt>
                <c:pt idx="24">
                  <c:v>5.6785513181316576</c:v>
                </c:pt>
                <c:pt idx="25">
                  <c:v>141.96378295329146</c:v>
                </c:pt>
                <c:pt idx="26">
                  <c:v>106.47283721496859</c:v>
                </c:pt>
                <c:pt idx="27">
                  <c:v>70.981891476645728</c:v>
                </c:pt>
                <c:pt idx="28">
                  <c:v>35.490945738322864</c:v>
                </c:pt>
                <c:pt idx="29">
                  <c:v>14.196378295329145</c:v>
                </c:pt>
              </c:numCache>
            </c:numRef>
          </c:xVal>
          <c:yVal>
            <c:numRef>
              <c:f>data!$J$403:$J$432</c:f>
              <c:numCache>
                <c:formatCode>0.000</c:formatCode>
                <c:ptCount val="30"/>
                <c:pt idx="0">
                  <c:v>4.2084497351203808E-3</c:v>
                </c:pt>
                <c:pt idx="1">
                  <c:v>4.2084497351203808E-3</c:v>
                </c:pt>
                <c:pt idx="2">
                  <c:v>4.2084497351203808E-3</c:v>
                </c:pt>
                <c:pt idx="3">
                  <c:v>4.2084497351203808E-3</c:v>
                </c:pt>
                <c:pt idx="4">
                  <c:v>4.2084497351203816E-3</c:v>
                </c:pt>
                <c:pt idx="5">
                  <c:v>4.8527074187015564E-3</c:v>
                </c:pt>
                <c:pt idx="6">
                  <c:v>4.8527074187015556E-3</c:v>
                </c:pt>
                <c:pt idx="7">
                  <c:v>4.8527074187015564E-3</c:v>
                </c:pt>
                <c:pt idx="8">
                  <c:v>4.8527074187015564E-3</c:v>
                </c:pt>
                <c:pt idx="9">
                  <c:v>4.8527074187015564E-3</c:v>
                </c:pt>
                <c:pt idx="10">
                  <c:v>5.546900037248584E-3</c:v>
                </c:pt>
                <c:pt idx="11">
                  <c:v>5.5469000372485831E-3</c:v>
                </c:pt>
                <c:pt idx="12">
                  <c:v>5.546900037248584E-3</c:v>
                </c:pt>
                <c:pt idx="13">
                  <c:v>5.546900037248584E-3</c:v>
                </c:pt>
                <c:pt idx="14">
                  <c:v>5.5469000372485823E-3</c:v>
                </c:pt>
                <c:pt idx="15">
                  <c:v>7.1264226676742053E-3</c:v>
                </c:pt>
                <c:pt idx="16">
                  <c:v>7.1264226676742044E-3</c:v>
                </c:pt>
                <c:pt idx="17">
                  <c:v>7.1264226676742053E-3</c:v>
                </c:pt>
                <c:pt idx="18">
                  <c:v>7.1264226676742053E-3</c:v>
                </c:pt>
                <c:pt idx="19">
                  <c:v>7.1264226676742062E-3</c:v>
                </c:pt>
                <c:pt idx="20">
                  <c:v>1.2984960074150835E-2</c:v>
                </c:pt>
                <c:pt idx="21">
                  <c:v>1.2984960074150837E-2</c:v>
                </c:pt>
                <c:pt idx="22">
                  <c:v>1.2984960074150835E-2</c:v>
                </c:pt>
                <c:pt idx="23">
                  <c:v>1.2984960074150835E-2</c:v>
                </c:pt>
                <c:pt idx="24">
                  <c:v>1.2984960074150837E-2</c:v>
                </c:pt>
                <c:pt idx="25">
                  <c:v>2.0531024580332766E-2</c:v>
                </c:pt>
                <c:pt idx="26">
                  <c:v>2.0531024580332766E-2</c:v>
                </c:pt>
                <c:pt idx="27">
                  <c:v>2.0531024580332766E-2</c:v>
                </c:pt>
                <c:pt idx="28">
                  <c:v>2.0531024580332766E-2</c:v>
                </c:pt>
                <c:pt idx="29">
                  <c:v>2.053102458033277E-2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08A-0449-8C6D-9923124B2875}"/>
            </c:ext>
          </c:extLst>
        </c:ser>
        <c:ser>
          <c:idx val="22"/>
          <c:order val="18"/>
          <c:tx>
            <c:v>70-30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C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data!$H$373:$H$402</c:f>
              <c:numCache>
                <c:formatCode>0.000</c:formatCode>
                <c:ptCount val="30"/>
                <c:pt idx="0">
                  <c:v>3.3335245151080999</c:v>
                </c:pt>
                <c:pt idx="1">
                  <c:v>2.5001433863310751</c:v>
                </c:pt>
                <c:pt idx="2">
                  <c:v>1.6667622575540499</c:v>
                </c:pt>
                <c:pt idx="3">
                  <c:v>0.83338112877702497</c:v>
                </c:pt>
                <c:pt idx="4">
                  <c:v>0.33335245151081</c:v>
                </c:pt>
                <c:pt idx="5">
                  <c:v>4.432283992154904</c:v>
                </c:pt>
                <c:pt idx="6">
                  <c:v>3.324212994116178</c:v>
                </c:pt>
                <c:pt idx="7">
                  <c:v>2.216141996077452</c:v>
                </c:pt>
                <c:pt idx="8">
                  <c:v>1.108070998038726</c:v>
                </c:pt>
                <c:pt idx="9">
                  <c:v>0.4432283992154904</c:v>
                </c:pt>
                <c:pt idx="10">
                  <c:v>5.7910863839104207</c:v>
                </c:pt>
                <c:pt idx="11">
                  <c:v>4.3433147879328153</c:v>
                </c:pt>
                <c:pt idx="12">
                  <c:v>2.8955431919552104</c:v>
                </c:pt>
                <c:pt idx="13">
                  <c:v>1.4477715959776052</c:v>
                </c:pt>
                <c:pt idx="14">
                  <c:v>0.5791086383910421</c:v>
                </c:pt>
                <c:pt idx="15">
                  <c:v>9.5587811397075644</c:v>
                </c:pt>
                <c:pt idx="16">
                  <c:v>7.1690858547806737</c:v>
                </c:pt>
                <c:pt idx="17">
                  <c:v>4.7793905698537822</c:v>
                </c:pt>
                <c:pt idx="18">
                  <c:v>2.3896952849268911</c:v>
                </c:pt>
                <c:pt idx="19">
                  <c:v>0.9558781139707565</c:v>
                </c:pt>
                <c:pt idx="20">
                  <c:v>31.735153383829108</c:v>
                </c:pt>
                <c:pt idx="21">
                  <c:v>23.801365037871832</c:v>
                </c:pt>
                <c:pt idx="22">
                  <c:v>15.867576691914554</c:v>
                </c:pt>
                <c:pt idx="23">
                  <c:v>7.9337883459572769</c:v>
                </c:pt>
                <c:pt idx="24">
                  <c:v>3.1735153383829111</c:v>
                </c:pt>
                <c:pt idx="25">
                  <c:v>79.33788345957278</c:v>
                </c:pt>
                <c:pt idx="26">
                  <c:v>59.503412594679588</c:v>
                </c:pt>
                <c:pt idx="27">
                  <c:v>39.66894172978639</c:v>
                </c:pt>
                <c:pt idx="28">
                  <c:v>19.834470864893195</c:v>
                </c:pt>
                <c:pt idx="29">
                  <c:v>7.9337883459572787</c:v>
                </c:pt>
              </c:numCache>
            </c:numRef>
          </c:xVal>
          <c:yVal>
            <c:numRef>
              <c:f>data!$J$373:$J$402</c:f>
              <c:numCache>
                <c:formatCode>0.000</c:formatCode>
                <c:ptCount val="30"/>
                <c:pt idx="0">
                  <c:v>9.0274156212619035E-3</c:v>
                </c:pt>
                <c:pt idx="1">
                  <c:v>9.0274156212619E-3</c:v>
                </c:pt>
                <c:pt idx="2">
                  <c:v>9.0274156212619035E-3</c:v>
                </c:pt>
                <c:pt idx="3">
                  <c:v>9.0274156212619035E-3</c:v>
                </c:pt>
                <c:pt idx="4">
                  <c:v>9.0274156212619035E-3</c:v>
                </c:pt>
                <c:pt idx="5">
                  <c:v>1.0409392891500667E-2</c:v>
                </c:pt>
                <c:pt idx="6">
                  <c:v>1.0409392891500665E-2</c:v>
                </c:pt>
                <c:pt idx="7">
                  <c:v>1.0409392891500667E-2</c:v>
                </c:pt>
                <c:pt idx="8">
                  <c:v>1.0409392891500667E-2</c:v>
                </c:pt>
                <c:pt idx="9">
                  <c:v>1.0409392891500667E-2</c:v>
                </c:pt>
                <c:pt idx="10">
                  <c:v>1.1898484049353567E-2</c:v>
                </c:pt>
                <c:pt idx="11">
                  <c:v>1.1898484049353567E-2</c:v>
                </c:pt>
                <c:pt idx="12">
                  <c:v>1.1898484049353567E-2</c:v>
                </c:pt>
                <c:pt idx="13">
                  <c:v>1.1898484049353567E-2</c:v>
                </c:pt>
                <c:pt idx="14">
                  <c:v>1.1898484049353565E-2</c:v>
                </c:pt>
                <c:pt idx="15">
                  <c:v>1.5286669287505895E-2</c:v>
                </c:pt>
                <c:pt idx="16">
                  <c:v>1.5286669287505892E-2</c:v>
                </c:pt>
                <c:pt idx="17">
                  <c:v>1.5286669287505895E-2</c:v>
                </c:pt>
                <c:pt idx="18">
                  <c:v>1.5286669287505895E-2</c:v>
                </c:pt>
                <c:pt idx="19">
                  <c:v>1.5286669287505893E-2</c:v>
                </c:pt>
                <c:pt idx="20">
                  <c:v>2.7853637038033518E-2</c:v>
                </c:pt>
                <c:pt idx="21">
                  <c:v>2.7853637038033511E-2</c:v>
                </c:pt>
                <c:pt idx="22">
                  <c:v>2.7853637038033518E-2</c:v>
                </c:pt>
                <c:pt idx="23">
                  <c:v>2.7853637038033518E-2</c:v>
                </c:pt>
                <c:pt idx="24">
                  <c:v>2.7853637038033514E-2</c:v>
                </c:pt>
                <c:pt idx="25">
                  <c:v>4.4040467079905971E-2</c:v>
                </c:pt>
                <c:pt idx="26">
                  <c:v>4.4040467079905957E-2</c:v>
                </c:pt>
                <c:pt idx="27">
                  <c:v>4.4040467079905971E-2</c:v>
                </c:pt>
                <c:pt idx="28">
                  <c:v>4.4040467079905971E-2</c:v>
                </c:pt>
                <c:pt idx="29">
                  <c:v>4.4040467079905957E-2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08A-0449-8C6D-9923124B2875}"/>
            </c:ext>
          </c:extLst>
        </c:ser>
        <c:ser>
          <c:idx val="23"/>
          <c:order val="19"/>
          <c:tx>
            <c:v>50-50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A3090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data!$H$343:$H$372</c:f>
              <c:numCache>
                <c:formatCode>0.000</c:formatCode>
                <c:ptCount val="30"/>
                <c:pt idx="0">
                  <c:v>3.1606299286955224</c:v>
                </c:pt>
                <c:pt idx="1">
                  <c:v>2.3704724465216418</c:v>
                </c:pt>
                <c:pt idx="2">
                  <c:v>1.5803149643477612</c:v>
                </c:pt>
                <c:pt idx="3">
                  <c:v>0.7901574821738806</c:v>
                </c:pt>
                <c:pt idx="4">
                  <c:v>0.31606299286955225</c:v>
                </c:pt>
                <c:pt idx="5">
                  <c:v>4.2024018046342695</c:v>
                </c:pt>
                <c:pt idx="6">
                  <c:v>3.1518013534757023</c:v>
                </c:pt>
                <c:pt idx="7">
                  <c:v>2.1012009023171347</c:v>
                </c:pt>
                <c:pt idx="8">
                  <c:v>1.0506004511585674</c:v>
                </c:pt>
                <c:pt idx="9">
                  <c:v>0.42024018046342693</c:v>
                </c:pt>
                <c:pt idx="10">
                  <c:v>5.4907293651790825</c:v>
                </c:pt>
                <c:pt idx="11">
                  <c:v>4.1180470238843121</c:v>
                </c:pt>
                <c:pt idx="12">
                  <c:v>2.7453646825895412</c:v>
                </c:pt>
                <c:pt idx="13">
                  <c:v>1.3726823412947706</c:v>
                </c:pt>
                <c:pt idx="14">
                  <c:v>0.54907293651790823</c:v>
                </c:pt>
                <c:pt idx="15">
                  <c:v>9.0630111208377642</c:v>
                </c:pt>
                <c:pt idx="16">
                  <c:v>6.7972583406283222</c:v>
                </c:pt>
                <c:pt idx="17">
                  <c:v>4.5315055604188821</c:v>
                </c:pt>
                <c:pt idx="18">
                  <c:v>2.265752780209441</c:v>
                </c:pt>
                <c:pt idx="19">
                  <c:v>0.90630111208377628</c:v>
                </c:pt>
                <c:pt idx="20">
                  <c:v>30.089196921181372</c:v>
                </c:pt>
                <c:pt idx="21">
                  <c:v>22.56689769088603</c:v>
                </c:pt>
                <c:pt idx="22">
                  <c:v>15.044598460590686</c:v>
                </c:pt>
                <c:pt idx="23">
                  <c:v>7.5222992302953431</c:v>
                </c:pt>
                <c:pt idx="24">
                  <c:v>3.0089196921181371</c:v>
                </c:pt>
                <c:pt idx="25">
                  <c:v>75.222992302953429</c:v>
                </c:pt>
                <c:pt idx="26">
                  <c:v>56.417244227215072</c:v>
                </c:pt>
                <c:pt idx="27">
                  <c:v>37.611496151476715</c:v>
                </c:pt>
                <c:pt idx="28">
                  <c:v>18.805748075738357</c:v>
                </c:pt>
                <c:pt idx="29">
                  <c:v>7.5222992302953431</c:v>
                </c:pt>
              </c:numCache>
            </c:numRef>
          </c:xVal>
          <c:yVal>
            <c:numRef>
              <c:f>data!$J$343:$J$372</c:f>
              <c:numCache>
                <c:formatCode>0.000</c:formatCode>
                <c:ptCount val="30"/>
                <c:pt idx="0">
                  <c:v>1.0178942023113645E-2</c:v>
                </c:pt>
                <c:pt idx="1">
                  <c:v>1.0178942023113641E-2</c:v>
                </c:pt>
                <c:pt idx="2">
                  <c:v>1.0178942023113645E-2</c:v>
                </c:pt>
                <c:pt idx="3">
                  <c:v>1.0178942023113645E-2</c:v>
                </c:pt>
                <c:pt idx="4">
                  <c:v>1.0178942023113641E-2</c:v>
                </c:pt>
                <c:pt idx="5">
                  <c:v>1.1737202670589503E-2</c:v>
                </c:pt>
                <c:pt idx="6">
                  <c:v>1.1737202670589499E-2</c:v>
                </c:pt>
                <c:pt idx="7">
                  <c:v>1.1737202670589503E-2</c:v>
                </c:pt>
                <c:pt idx="8">
                  <c:v>1.1737202670589503E-2</c:v>
                </c:pt>
                <c:pt idx="9">
                  <c:v>1.1737202670589501E-2</c:v>
                </c:pt>
                <c:pt idx="10">
                  <c:v>1.3416240525810906E-2</c:v>
                </c:pt>
                <c:pt idx="11">
                  <c:v>1.3416240525810906E-2</c:v>
                </c:pt>
                <c:pt idx="12">
                  <c:v>1.3416240525810906E-2</c:v>
                </c:pt>
                <c:pt idx="13">
                  <c:v>1.3416240525810906E-2</c:v>
                </c:pt>
                <c:pt idx="14">
                  <c:v>1.3416240525810908E-2</c:v>
                </c:pt>
                <c:pt idx="15">
                  <c:v>1.7236618643939595E-2</c:v>
                </c:pt>
                <c:pt idx="16">
                  <c:v>1.7236618643939595E-2</c:v>
                </c:pt>
                <c:pt idx="17">
                  <c:v>1.7236618643939595E-2</c:v>
                </c:pt>
                <c:pt idx="18">
                  <c:v>1.7236618643939595E-2</c:v>
                </c:pt>
                <c:pt idx="19">
                  <c:v>1.7236618643939595E-2</c:v>
                </c:pt>
                <c:pt idx="20">
                  <c:v>3.1406613856930395E-2</c:v>
                </c:pt>
                <c:pt idx="21">
                  <c:v>3.1406613856930395E-2</c:v>
                </c:pt>
                <c:pt idx="22">
                  <c:v>3.1406613856930395E-2</c:v>
                </c:pt>
                <c:pt idx="23">
                  <c:v>3.1406613856930395E-2</c:v>
                </c:pt>
                <c:pt idx="24">
                  <c:v>3.1406613856930395E-2</c:v>
                </c:pt>
                <c:pt idx="25">
                  <c:v>4.9658216690652832E-2</c:v>
                </c:pt>
                <c:pt idx="26">
                  <c:v>4.9658216690652825E-2</c:v>
                </c:pt>
                <c:pt idx="27">
                  <c:v>4.9658216690652832E-2</c:v>
                </c:pt>
                <c:pt idx="28">
                  <c:v>4.9658216690652832E-2</c:v>
                </c:pt>
                <c:pt idx="29">
                  <c:v>4.9658216690652825E-2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08A-0449-8C6D-9923124B2875}"/>
            </c:ext>
          </c:extLst>
        </c:ser>
        <c:ser>
          <c:idx val="24"/>
          <c:order val="20"/>
          <c:tx>
            <c:v>30-70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E7120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data!$H$313:$H$342</c:f>
              <c:numCache>
                <c:formatCode>0.000</c:formatCode>
                <c:ptCount val="30"/>
                <c:pt idx="0">
                  <c:v>3.1771803210197507</c:v>
                </c:pt>
                <c:pt idx="1">
                  <c:v>2.3828852407648129</c:v>
                </c:pt>
                <c:pt idx="2">
                  <c:v>1.5885901605098753</c:v>
                </c:pt>
                <c:pt idx="3">
                  <c:v>0.79429508025493767</c:v>
                </c:pt>
                <c:pt idx="4">
                  <c:v>0.31771803210197508</c:v>
                </c:pt>
                <c:pt idx="5">
                  <c:v>4.2244073542050318</c:v>
                </c:pt>
                <c:pt idx="6">
                  <c:v>3.1683055156537736</c:v>
                </c:pt>
                <c:pt idx="7">
                  <c:v>2.1122036771025159</c:v>
                </c:pt>
                <c:pt idx="8">
                  <c:v>1.0561018385512579</c:v>
                </c:pt>
                <c:pt idx="9">
                  <c:v>0.42244073542050314</c:v>
                </c:pt>
                <c:pt idx="10">
                  <c:v>5.5194811416255511</c:v>
                </c:pt>
                <c:pt idx="11">
                  <c:v>4.1396108562191634</c:v>
                </c:pt>
                <c:pt idx="12">
                  <c:v>2.7597405708127756</c:v>
                </c:pt>
                <c:pt idx="13">
                  <c:v>1.3798702854063878</c:v>
                </c:pt>
                <c:pt idx="14">
                  <c:v>0.55194811416255518</c:v>
                </c:pt>
                <c:pt idx="15">
                  <c:v>9.1104688723216949</c:v>
                </c:pt>
                <c:pt idx="16">
                  <c:v>6.8328516542412707</c:v>
                </c:pt>
                <c:pt idx="17">
                  <c:v>4.5552344361608474</c:v>
                </c:pt>
                <c:pt idx="18">
                  <c:v>2.2776172180804237</c:v>
                </c:pt>
                <c:pt idx="19">
                  <c:v>0.91104688723216953</c:v>
                </c:pt>
                <c:pt idx="20">
                  <c:v>30.246756656108026</c:v>
                </c:pt>
                <c:pt idx="21">
                  <c:v>22.685067492081018</c:v>
                </c:pt>
                <c:pt idx="22">
                  <c:v>15.123378328054013</c:v>
                </c:pt>
                <c:pt idx="23">
                  <c:v>7.5616891640270065</c:v>
                </c:pt>
                <c:pt idx="24">
                  <c:v>3.0246756656108027</c:v>
                </c:pt>
                <c:pt idx="25">
                  <c:v>75.616891640270055</c:v>
                </c:pt>
                <c:pt idx="26">
                  <c:v>56.712668730202545</c:v>
                </c:pt>
                <c:pt idx="27">
                  <c:v>37.808445820135027</c:v>
                </c:pt>
                <c:pt idx="28">
                  <c:v>18.904222910067514</c:v>
                </c:pt>
                <c:pt idx="29">
                  <c:v>7.5616891640270065</c:v>
                </c:pt>
              </c:numCache>
            </c:numRef>
          </c:xVal>
          <c:yVal>
            <c:numRef>
              <c:f>data!$J$313:$J$342</c:f>
              <c:numCache>
                <c:formatCode>0.000</c:formatCode>
                <c:ptCount val="30"/>
                <c:pt idx="0">
                  <c:v>1.0237768004323451E-2</c:v>
                </c:pt>
                <c:pt idx="1">
                  <c:v>1.0237768004323449E-2</c:v>
                </c:pt>
                <c:pt idx="2">
                  <c:v>1.0237768004323451E-2</c:v>
                </c:pt>
                <c:pt idx="3">
                  <c:v>1.0237768004323451E-2</c:v>
                </c:pt>
                <c:pt idx="4">
                  <c:v>1.0237768004323449E-2</c:v>
                </c:pt>
                <c:pt idx="5">
                  <c:v>1.1805034127158163E-2</c:v>
                </c:pt>
                <c:pt idx="6">
                  <c:v>1.1805034127158163E-2</c:v>
                </c:pt>
                <c:pt idx="7">
                  <c:v>1.1805034127158163E-2</c:v>
                </c:pt>
                <c:pt idx="8">
                  <c:v>1.1805034127158163E-2</c:v>
                </c:pt>
                <c:pt idx="9">
                  <c:v>1.1805034127158165E-2</c:v>
                </c:pt>
                <c:pt idx="10">
                  <c:v>1.3493775451472682E-2</c:v>
                </c:pt>
                <c:pt idx="11">
                  <c:v>1.349377545147268E-2</c:v>
                </c:pt>
                <c:pt idx="12">
                  <c:v>1.3493775451472682E-2</c:v>
                </c:pt>
                <c:pt idx="13">
                  <c:v>1.3493775451472682E-2</c:v>
                </c:pt>
                <c:pt idx="14">
                  <c:v>1.3493775451472678E-2</c:v>
                </c:pt>
                <c:pt idx="15">
                  <c:v>1.7336232238571198E-2</c:v>
                </c:pt>
                <c:pt idx="16">
                  <c:v>1.7336232238571194E-2</c:v>
                </c:pt>
                <c:pt idx="17">
                  <c:v>1.7336232238571198E-2</c:v>
                </c:pt>
                <c:pt idx="18">
                  <c:v>1.7336232238571198E-2</c:v>
                </c:pt>
                <c:pt idx="19">
                  <c:v>1.7336232238571194E-2</c:v>
                </c:pt>
                <c:pt idx="20">
                  <c:v>3.1588118464424587E-2</c:v>
                </c:pt>
                <c:pt idx="21">
                  <c:v>3.1588118464424587E-2</c:v>
                </c:pt>
                <c:pt idx="22">
                  <c:v>3.1588118464424587E-2</c:v>
                </c:pt>
                <c:pt idx="23">
                  <c:v>3.1588118464424587E-2</c:v>
                </c:pt>
                <c:pt idx="24">
                  <c:v>3.1588118464424587E-2</c:v>
                </c:pt>
                <c:pt idx="25">
                  <c:v>4.9945200673401094E-2</c:v>
                </c:pt>
                <c:pt idx="26">
                  <c:v>4.994520067340108E-2</c:v>
                </c:pt>
                <c:pt idx="27">
                  <c:v>4.9945200673401094E-2</c:v>
                </c:pt>
                <c:pt idx="28">
                  <c:v>4.9945200673401094E-2</c:v>
                </c:pt>
                <c:pt idx="29">
                  <c:v>4.994520067340108E-2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08A-0449-8C6D-9923124B2875}"/>
            </c:ext>
          </c:extLst>
        </c:ser>
        <c:ser>
          <c:idx val="25"/>
          <c:order val="21"/>
          <c:tx>
            <c:v>10-90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>
                  <a:alpha val="43137"/>
                </a:srgb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data!$H$283:$H$312</c:f>
              <c:numCache>
                <c:formatCode>0.000</c:formatCode>
                <c:ptCount val="30"/>
                <c:pt idx="0">
                  <c:v>4.5324236828224169</c:v>
                </c:pt>
                <c:pt idx="1">
                  <c:v>3.3993177621168127</c:v>
                </c:pt>
                <c:pt idx="2">
                  <c:v>2.2662118414112085</c:v>
                </c:pt>
                <c:pt idx="3">
                  <c:v>1.1331059207056042</c:v>
                </c:pt>
                <c:pt idx="4">
                  <c:v>0.45324236828224174</c:v>
                </c:pt>
                <c:pt idx="5">
                  <c:v>6.0263510419649995</c:v>
                </c:pt>
                <c:pt idx="6">
                  <c:v>4.5197632814737494</c:v>
                </c:pt>
                <c:pt idx="7">
                  <c:v>3.0131755209824997</c:v>
                </c:pt>
                <c:pt idx="8">
                  <c:v>1.5065877604912499</c:v>
                </c:pt>
                <c:pt idx="9">
                  <c:v>0.60263510419650002</c:v>
                </c:pt>
                <c:pt idx="10">
                  <c:v>7.8738455219834664</c:v>
                </c:pt>
                <c:pt idx="11">
                  <c:v>5.9053841414876</c:v>
                </c:pt>
                <c:pt idx="12">
                  <c:v>3.9369227609917332</c:v>
                </c:pt>
                <c:pt idx="13">
                  <c:v>1.9684613804958666</c:v>
                </c:pt>
                <c:pt idx="14">
                  <c:v>0.78738455219834669</c:v>
                </c:pt>
                <c:pt idx="15">
                  <c:v>12.996588391707652</c:v>
                </c:pt>
                <c:pt idx="16">
                  <c:v>9.7474412937807404</c:v>
                </c:pt>
                <c:pt idx="17">
                  <c:v>6.4982941958538261</c:v>
                </c:pt>
                <c:pt idx="18">
                  <c:v>3.249147097926913</c:v>
                </c:pt>
                <c:pt idx="19">
                  <c:v>1.2996588391707655</c:v>
                </c:pt>
                <c:pt idx="20">
                  <c:v>43.148673460469411</c:v>
                </c:pt>
                <c:pt idx="21">
                  <c:v>32.361505095352058</c:v>
                </c:pt>
                <c:pt idx="22">
                  <c:v>21.574336730234705</c:v>
                </c:pt>
                <c:pt idx="23">
                  <c:v>10.787168365117353</c:v>
                </c:pt>
                <c:pt idx="24">
                  <c:v>4.3148673460469409</c:v>
                </c:pt>
                <c:pt idx="25">
                  <c:v>107.87168365117351</c:v>
                </c:pt>
                <c:pt idx="26">
                  <c:v>80.903762738380138</c:v>
                </c:pt>
                <c:pt idx="27">
                  <c:v>53.935841825586756</c:v>
                </c:pt>
                <c:pt idx="28">
                  <c:v>26.967920912793378</c:v>
                </c:pt>
                <c:pt idx="29">
                  <c:v>10.787168365117353</c:v>
                </c:pt>
              </c:numCache>
            </c:numRef>
          </c:xVal>
          <c:yVal>
            <c:numRef>
              <c:f>data!$J$283:$J$312</c:f>
              <c:numCache>
                <c:formatCode>0.000</c:formatCode>
                <c:ptCount val="30"/>
                <c:pt idx="0">
                  <c:v>7.4294167401741402E-3</c:v>
                </c:pt>
                <c:pt idx="1">
                  <c:v>7.4294167401741393E-3</c:v>
                </c:pt>
                <c:pt idx="2">
                  <c:v>7.4294167401741402E-3</c:v>
                </c:pt>
                <c:pt idx="3">
                  <c:v>7.4294167401741402E-3</c:v>
                </c:pt>
                <c:pt idx="4">
                  <c:v>7.4294167401741393E-3</c:v>
                </c:pt>
                <c:pt idx="5">
                  <c:v>8.5667616345279501E-3</c:v>
                </c:pt>
                <c:pt idx="6">
                  <c:v>8.5667616345279501E-3</c:v>
                </c:pt>
                <c:pt idx="7">
                  <c:v>8.5667616345279501E-3</c:v>
                </c:pt>
                <c:pt idx="8">
                  <c:v>8.5667616345279501E-3</c:v>
                </c:pt>
                <c:pt idx="9">
                  <c:v>8.5667616345279484E-3</c:v>
                </c:pt>
                <c:pt idx="10">
                  <c:v>9.7922595222890065E-3</c:v>
                </c:pt>
                <c:pt idx="11">
                  <c:v>9.7922595222890048E-3</c:v>
                </c:pt>
                <c:pt idx="12">
                  <c:v>9.7922595222890065E-3</c:v>
                </c:pt>
                <c:pt idx="13">
                  <c:v>9.7922595222890065E-3</c:v>
                </c:pt>
                <c:pt idx="14">
                  <c:v>9.7922595222890048E-3</c:v>
                </c:pt>
                <c:pt idx="15">
                  <c:v>1.25806810576676E-2</c:v>
                </c:pt>
                <c:pt idx="16">
                  <c:v>1.2580681057667598E-2</c:v>
                </c:pt>
                <c:pt idx="17">
                  <c:v>1.25806810576676E-2</c:v>
                </c:pt>
                <c:pt idx="18">
                  <c:v>1.25806810576676E-2</c:v>
                </c:pt>
                <c:pt idx="19">
                  <c:v>1.2580681057667598E-2</c:v>
                </c:pt>
                <c:pt idx="20">
                  <c:v>2.2923091831255901E-2</c:v>
                </c:pt>
                <c:pt idx="21">
                  <c:v>2.2923091831255901E-2</c:v>
                </c:pt>
                <c:pt idx="22">
                  <c:v>2.2923091831255901E-2</c:v>
                </c:pt>
                <c:pt idx="23">
                  <c:v>2.2923091831255901E-2</c:v>
                </c:pt>
                <c:pt idx="24">
                  <c:v>2.2923091831255901E-2</c:v>
                </c:pt>
                <c:pt idx="25">
                  <c:v>3.6244590599984403E-2</c:v>
                </c:pt>
                <c:pt idx="26">
                  <c:v>3.6244590599984403E-2</c:v>
                </c:pt>
                <c:pt idx="27">
                  <c:v>3.6244590599984403E-2</c:v>
                </c:pt>
                <c:pt idx="28">
                  <c:v>3.6244590599984403E-2</c:v>
                </c:pt>
                <c:pt idx="29">
                  <c:v>3.6244590599984396E-2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08A-0449-8C6D-9923124B2875}"/>
            </c:ext>
          </c:extLst>
        </c:ser>
        <c:ser>
          <c:idx val="26"/>
          <c:order val="22"/>
          <c:tx>
            <c:v>5-95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FF0000">
                  <a:alpha val="14118"/>
                </a:srgb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data!$H$253:$H$282</c:f>
              <c:numCache>
                <c:formatCode>0.000</c:formatCode>
                <c:ptCount val="30"/>
                <c:pt idx="0">
                  <c:v>4.7274041713231938</c:v>
                </c:pt>
                <c:pt idx="1">
                  <c:v>3.5455531284923958</c:v>
                </c:pt>
                <c:pt idx="2">
                  <c:v>2.3637020856615969</c:v>
                </c:pt>
                <c:pt idx="3">
                  <c:v>1.1818510428307984</c:v>
                </c:pt>
                <c:pt idx="4">
                  <c:v>0.4727404171323194</c:v>
                </c:pt>
                <c:pt idx="5">
                  <c:v>6.2855988423179898</c:v>
                </c:pt>
                <c:pt idx="6">
                  <c:v>4.7141991317384928</c:v>
                </c:pt>
                <c:pt idx="7">
                  <c:v>3.1427994211589949</c:v>
                </c:pt>
                <c:pt idx="8">
                  <c:v>1.5713997105794975</c:v>
                </c:pt>
                <c:pt idx="9">
                  <c:v>0.62855988423179898</c:v>
                </c:pt>
                <c:pt idx="10">
                  <c:v>8.2125707501818983</c:v>
                </c:pt>
                <c:pt idx="11">
                  <c:v>6.1594280626364242</c:v>
                </c:pt>
                <c:pt idx="12">
                  <c:v>4.1062853750909492</c:v>
                </c:pt>
                <c:pt idx="13">
                  <c:v>2.0531426875454746</c:v>
                </c:pt>
                <c:pt idx="14">
                  <c:v>0.82125707501818968</c:v>
                </c:pt>
                <c:pt idx="15">
                  <c:v>13.555689069577353</c:v>
                </c:pt>
                <c:pt idx="16">
                  <c:v>10.166766802183016</c:v>
                </c:pt>
                <c:pt idx="17">
                  <c:v>6.7778445347886764</c:v>
                </c:pt>
                <c:pt idx="18">
                  <c:v>3.3889222673943382</c:v>
                </c:pt>
                <c:pt idx="19">
                  <c:v>1.3555689069577352</c:v>
                </c:pt>
                <c:pt idx="20">
                  <c:v>45.004887710996805</c:v>
                </c:pt>
                <c:pt idx="21">
                  <c:v>33.753665783247605</c:v>
                </c:pt>
                <c:pt idx="22">
                  <c:v>22.502443855498402</c:v>
                </c:pt>
                <c:pt idx="23">
                  <c:v>11.251221927749201</c:v>
                </c:pt>
                <c:pt idx="24">
                  <c:v>4.5004887710996808</c:v>
                </c:pt>
                <c:pt idx="25">
                  <c:v>112.51221927749202</c:v>
                </c:pt>
                <c:pt idx="26">
                  <c:v>84.384164458119017</c:v>
                </c:pt>
                <c:pt idx="27">
                  <c:v>56.256109638746011</c:v>
                </c:pt>
                <c:pt idx="28">
                  <c:v>28.128054819373006</c:v>
                </c:pt>
                <c:pt idx="29">
                  <c:v>11.251221927749201</c:v>
                </c:pt>
              </c:numCache>
            </c:numRef>
          </c:xVal>
          <c:yVal>
            <c:numRef>
              <c:f>data!$J$253:$J$282</c:f>
              <c:numCache>
                <c:formatCode>0.000</c:formatCode>
                <c:ptCount val="30"/>
                <c:pt idx="0">
                  <c:v>7.1964252839247867E-3</c:v>
                </c:pt>
                <c:pt idx="1">
                  <c:v>7.1964252839247858E-3</c:v>
                </c:pt>
                <c:pt idx="2">
                  <c:v>7.1964252839247867E-3</c:v>
                </c:pt>
                <c:pt idx="3">
                  <c:v>7.1964252839247867E-3</c:v>
                </c:pt>
                <c:pt idx="4">
                  <c:v>7.1964252839247867E-3</c:v>
                </c:pt>
                <c:pt idx="5">
                  <c:v>8.2981022850292744E-3</c:v>
                </c:pt>
                <c:pt idx="6">
                  <c:v>8.2981022850292709E-3</c:v>
                </c:pt>
                <c:pt idx="7">
                  <c:v>8.2981022850292744E-3</c:v>
                </c:pt>
                <c:pt idx="8">
                  <c:v>8.2981022850292744E-3</c:v>
                </c:pt>
                <c:pt idx="9">
                  <c:v>8.2981022850292727E-3</c:v>
                </c:pt>
                <c:pt idx="10">
                  <c:v>9.4851677429663352E-3</c:v>
                </c:pt>
                <c:pt idx="11">
                  <c:v>9.4851677429663335E-3</c:v>
                </c:pt>
                <c:pt idx="12">
                  <c:v>9.4851677429663352E-3</c:v>
                </c:pt>
                <c:pt idx="13">
                  <c:v>9.4851677429663352E-3</c:v>
                </c:pt>
                <c:pt idx="14">
                  <c:v>9.4851677429663352E-3</c:v>
                </c:pt>
                <c:pt idx="15">
                  <c:v>1.2186142522174715E-2</c:v>
                </c:pt>
                <c:pt idx="16">
                  <c:v>1.2186142522174712E-2</c:v>
                </c:pt>
                <c:pt idx="17">
                  <c:v>1.2186142522174715E-2</c:v>
                </c:pt>
                <c:pt idx="18">
                  <c:v>1.2186142522174715E-2</c:v>
                </c:pt>
                <c:pt idx="19">
                  <c:v>1.2186142522174712E-2</c:v>
                </c:pt>
                <c:pt idx="20">
                  <c:v>2.2204208406851746E-2</c:v>
                </c:pt>
                <c:pt idx="21">
                  <c:v>2.2204208406851743E-2</c:v>
                </c:pt>
                <c:pt idx="22">
                  <c:v>2.2204208406851746E-2</c:v>
                </c:pt>
                <c:pt idx="23">
                  <c:v>2.2204208406851746E-2</c:v>
                </c:pt>
                <c:pt idx="24">
                  <c:v>2.2204208406851743E-2</c:v>
                </c:pt>
                <c:pt idx="25">
                  <c:v>3.5107936103355102E-2</c:v>
                </c:pt>
                <c:pt idx="26">
                  <c:v>3.5107936103355095E-2</c:v>
                </c:pt>
                <c:pt idx="27">
                  <c:v>3.5107936103355102E-2</c:v>
                </c:pt>
                <c:pt idx="28">
                  <c:v>3.5107936103355102E-2</c:v>
                </c:pt>
                <c:pt idx="29">
                  <c:v>3.5107936103355102E-2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08A-0449-8C6D-9923124B2875}"/>
            </c:ext>
          </c:extLst>
        </c:ser>
        <c:ser>
          <c:idx val="9"/>
          <c:order val="23"/>
          <c:tx>
            <c:v>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data!#REF!</c:f>
              <c:numCache>
                <c:formatCode>0.000</c:formatCode>
                <c:ptCount val="20"/>
                <c:pt idx="0">
                  <c:v>10.184367404663863</c:v>
                </c:pt>
                <c:pt idx="1">
                  <c:v>7.6382755534978974</c:v>
                </c:pt>
                <c:pt idx="2">
                  <c:v>5.0921837023319316</c:v>
                </c:pt>
                <c:pt idx="3">
                  <c:v>2.5460918511659658</c:v>
                </c:pt>
                <c:pt idx="4">
                  <c:v>1.0184367404663863</c:v>
                </c:pt>
                <c:pt idx="5">
                  <c:v>1.6810341378782523</c:v>
                </c:pt>
                <c:pt idx="6">
                  <c:v>4.2025853446956312</c:v>
                </c:pt>
                <c:pt idx="7">
                  <c:v>8.4051706893912623</c:v>
                </c:pt>
                <c:pt idx="8">
                  <c:v>12.607756034086892</c:v>
                </c:pt>
                <c:pt idx="9">
                  <c:v>16.810341378782525</c:v>
                </c:pt>
                <c:pt idx="10">
                  <c:v>55.810333377557974</c:v>
                </c:pt>
                <c:pt idx="11">
                  <c:v>41.857750033168479</c:v>
                </c:pt>
                <c:pt idx="12">
                  <c:v>27.905166688778987</c:v>
                </c:pt>
                <c:pt idx="13">
                  <c:v>13.952583344389494</c:v>
                </c:pt>
                <c:pt idx="14">
                  <c:v>5.5810333377557972</c:v>
                </c:pt>
                <c:pt idx="15">
                  <c:v>13.952583344389494</c:v>
                </c:pt>
                <c:pt idx="16">
                  <c:v>34.881458360973738</c:v>
                </c:pt>
                <c:pt idx="17">
                  <c:v>69.762916721947477</c:v>
                </c:pt>
                <c:pt idx="18">
                  <c:v>104.6443750829212</c:v>
                </c:pt>
                <c:pt idx="19">
                  <c:v>139.52583344389495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20"/>
                <c:pt idx="0">
                  <c:v>7.7273872271312605E-3</c:v>
                </c:pt>
                <c:pt idx="1">
                  <c:v>7.7273872271312587E-3</c:v>
                </c:pt>
                <c:pt idx="2">
                  <c:v>7.7273872271312605E-3</c:v>
                </c:pt>
                <c:pt idx="3">
                  <c:v>7.7273872271312605E-3</c:v>
                </c:pt>
                <c:pt idx="4">
                  <c:v>7.7273872271312587E-3</c:v>
                </c:pt>
                <c:pt idx="5">
                  <c:v>9.9278204271804234E-3</c:v>
                </c:pt>
                <c:pt idx="6">
                  <c:v>9.9278204271804234E-3</c:v>
                </c:pt>
                <c:pt idx="7">
                  <c:v>9.9278204271804234E-3</c:v>
                </c:pt>
                <c:pt idx="8">
                  <c:v>9.9278204271804234E-3</c:v>
                </c:pt>
                <c:pt idx="9">
                  <c:v>9.9278204271804234E-3</c:v>
                </c:pt>
                <c:pt idx="10">
                  <c:v>1.8089349717499845E-2</c:v>
                </c:pt>
                <c:pt idx="11">
                  <c:v>1.8089349717499845E-2</c:v>
                </c:pt>
                <c:pt idx="12">
                  <c:v>1.8089349717499845E-2</c:v>
                </c:pt>
                <c:pt idx="13">
                  <c:v>1.8089349717499845E-2</c:v>
                </c:pt>
                <c:pt idx="14">
                  <c:v>1.8089349717499845E-2</c:v>
                </c:pt>
                <c:pt idx="15">
                  <c:v>2.8601773249311475E-2</c:v>
                </c:pt>
                <c:pt idx="16">
                  <c:v>2.8601773249311471E-2</c:v>
                </c:pt>
                <c:pt idx="17">
                  <c:v>2.8601773249311471E-2</c:v>
                </c:pt>
                <c:pt idx="18">
                  <c:v>2.8601773249311471E-2</c:v>
                </c:pt>
                <c:pt idx="19">
                  <c:v>2.8601773249311471E-2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08A-0449-8C6D-9923124B2875}"/>
            </c:ext>
          </c:extLst>
        </c:ser>
        <c:ser>
          <c:idx val="11"/>
          <c:order val="24"/>
          <c:tx>
            <c:v>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data!#REF!</c:f>
              <c:numCache>
                <c:formatCode>0.000</c:formatCode>
                <c:ptCount val="10"/>
                <c:pt idx="0">
                  <c:v>7.7947392985416153</c:v>
                </c:pt>
                <c:pt idx="1">
                  <c:v>5.8460544739062117</c:v>
                </c:pt>
                <c:pt idx="2">
                  <c:v>3.8973696492708076</c:v>
                </c:pt>
                <c:pt idx="3">
                  <c:v>1.9486848246354038</c:v>
                </c:pt>
                <c:pt idx="4">
                  <c:v>0.77947392985416153</c:v>
                </c:pt>
                <c:pt idx="5">
                  <c:v>5.8624299766342407</c:v>
                </c:pt>
                <c:pt idx="6">
                  <c:v>4.396822482475681</c:v>
                </c:pt>
                <c:pt idx="7">
                  <c:v>2.9312149883171204</c:v>
                </c:pt>
                <c:pt idx="8">
                  <c:v>1.4656074941585602</c:v>
                </c:pt>
                <c:pt idx="9">
                  <c:v>0.58624299766342403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6.7603073919608519E-3</c:v>
                </c:pt>
                <c:pt idx="1">
                  <c:v>6.7603073919608502E-3</c:v>
                </c:pt>
                <c:pt idx="2">
                  <c:v>6.7603073919608519E-3</c:v>
                </c:pt>
                <c:pt idx="3">
                  <c:v>6.7603073919608519E-3</c:v>
                </c:pt>
                <c:pt idx="4">
                  <c:v>6.7603073919608519E-3</c:v>
                </c:pt>
                <c:pt idx="5">
                  <c:v>5.8627919217603469E-3</c:v>
                </c:pt>
                <c:pt idx="6">
                  <c:v>5.8627919217603469E-3</c:v>
                </c:pt>
                <c:pt idx="7">
                  <c:v>5.8627919217603469E-3</c:v>
                </c:pt>
                <c:pt idx="8">
                  <c:v>5.8627919217603469E-3</c:v>
                </c:pt>
                <c:pt idx="9">
                  <c:v>5.8627919217603477E-3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08A-0449-8C6D-9923124B2875}"/>
            </c:ext>
          </c:extLst>
        </c:ser>
        <c:ser>
          <c:idx val="20"/>
          <c:order val="25"/>
          <c:tx>
            <c:v>Silicon Oil 2 cSt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data!$H$463:$H$492</c:f>
              <c:numCache>
                <c:formatCode>0.000</c:formatCode>
                <c:ptCount val="30"/>
                <c:pt idx="0">
                  <c:v>4.4334911488526494</c:v>
                </c:pt>
                <c:pt idx="1">
                  <c:v>3.3251183616394875</c:v>
                </c:pt>
                <c:pt idx="2">
                  <c:v>2.2167455744263247</c:v>
                </c:pt>
                <c:pt idx="3">
                  <c:v>1.1083727872131623</c:v>
                </c:pt>
                <c:pt idx="4">
                  <c:v>0.44334911488526496</c:v>
                </c:pt>
                <c:pt idx="5">
                  <c:v>5.8948094604856447</c:v>
                </c:pt>
                <c:pt idx="6">
                  <c:v>4.421107095364234</c:v>
                </c:pt>
                <c:pt idx="7">
                  <c:v>2.9474047302428223</c:v>
                </c:pt>
                <c:pt idx="8">
                  <c:v>1.4737023651214112</c:v>
                </c:pt>
                <c:pt idx="9">
                  <c:v>0.58948094604856449</c:v>
                </c:pt>
                <c:pt idx="10">
                  <c:v>7.7019773242841625</c:v>
                </c:pt>
                <c:pt idx="11">
                  <c:v>5.7764829932131221</c:v>
                </c:pt>
                <c:pt idx="12">
                  <c:v>3.8509886621420812</c:v>
                </c:pt>
                <c:pt idx="13">
                  <c:v>1.9254943310710406</c:v>
                </c:pt>
                <c:pt idx="14">
                  <c:v>0.77019773242841627</c:v>
                </c:pt>
                <c:pt idx="15">
                  <c:v>12.712902330444944</c:v>
                </c:pt>
                <c:pt idx="16">
                  <c:v>9.5346767478337089</c:v>
                </c:pt>
                <c:pt idx="17">
                  <c:v>6.356451165222472</c:v>
                </c:pt>
                <c:pt idx="18">
                  <c:v>3.178225582611236</c:v>
                </c:pt>
                <c:pt idx="19">
                  <c:v>1.2712902330444944</c:v>
                </c:pt>
                <c:pt idx="20">
                  <c:v>42.20683573707722</c:v>
                </c:pt>
                <c:pt idx="21">
                  <c:v>31.655126802807917</c:v>
                </c:pt>
                <c:pt idx="22">
                  <c:v>21.10341786853861</c:v>
                </c:pt>
                <c:pt idx="23">
                  <c:v>10.551708934269305</c:v>
                </c:pt>
                <c:pt idx="24">
                  <c:v>4.2206835737077215</c:v>
                </c:pt>
                <c:pt idx="25">
                  <c:v>105.51708934269304</c:v>
                </c:pt>
                <c:pt idx="26">
                  <c:v>79.137817007019791</c:v>
                </c:pt>
                <c:pt idx="27">
                  <c:v>52.75854467134652</c:v>
                </c:pt>
                <c:pt idx="28">
                  <c:v>26.37927233567326</c:v>
                </c:pt>
                <c:pt idx="29">
                  <c:v>10.551708934269305</c:v>
                </c:pt>
              </c:numCache>
            </c:numRef>
          </c:xVal>
          <c:yVal>
            <c:numRef>
              <c:f>data!$J$463:$J$492</c:f>
              <c:numCache>
                <c:formatCode>0.000</c:formatCode>
                <c:ptCount val="30"/>
                <c:pt idx="0">
                  <c:v>9.2957023362165367E-3</c:v>
                </c:pt>
                <c:pt idx="1">
                  <c:v>9.295702336216535E-3</c:v>
                </c:pt>
                <c:pt idx="2">
                  <c:v>9.2957023362165367E-3</c:v>
                </c:pt>
                <c:pt idx="3">
                  <c:v>9.2957023362165367E-3</c:v>
                </c:pt>
                <c:pt idx="4">
                  <c:v>9.295702336216535E-3</c:v>
                </c:pt>
                <c:pt idx="5">
                  <c:v>1.0718750734398175E-2</c:v>
                </c:pt>
                <c:pt idx="6">
                  <c:v>1.0718750734398172E-2</c:v>
                </c:pt>
                <c:pt idx="7">
                  <c:v>1.0718750734398175E-2</c:v>
                </c:pt>
                <c:pt idx="8">
                  <c:v>1.0718750734398175E-2</c:v>
                </c:pt>
                <c:pt idx="9">
                  <c:v>1.0718750734398173E-2</c:v>
                </c:pt>
                <c:pt idx="10">
                  <c:v>1.2252096349093342E-2</c:v>
                </c:pt>
                <c:pt idx="11">
                  <c:v>1.225209634909334E-2</c:v>
                </c:pt>
                <c:pt idx="12">
                  <c:v>1.2252096349093342E-2</c:v>
                </c:pt>
                <c:pt idx="13">
                  <c:v>1.2252096349093342E-2</c:v>
                </c:pt>
                <c:pt idx="14">
                  <c:v>1.225209634909334E-2</c:v>
                </c:pt>
                <c:pt idx="15">
                  <c:v>1.5740975420933882E-2</c:v>
                </c:pt>
                <c:pt idx="16">
                  <c:v>1.5740975420933875E-2</c:v>
                </c:pt>
                <c:pt idx="17">
                  <c:v>1.5740975420933882E-2</c:v>
                </c:pt>
                <c:pt idx="18">
                  <c:v>1.5740975420933882E-2</c:v>
                </c:pt>
                <c:pt idx="19">
                  <c:v>1.5740975420933882E-2</c:v>
                </c:pt>
                <c:pt idx="20">
                  <c:v>2.8681422208672213E-2</c:v>
                </c:pt>
                <c:pt idx="21">
                  <c:v>2.8681422208672206E-2</c:v>
                </c:pt>
                <c:pt idx="22">
                  <c:v>2.8681422208672213E-2</c:v>
                </c:pt>
                <c:pt idx="23">
                  <c:v>2.8681422208672213E-2</c:v>
                </c:pt>
                <c:pt idx="24">
                  <c:v>2.8681422208672216E-2</c:v>
                </c:pt>
                <c:pt idx="25">
                  <c:v>4.5349310356170687E-2</c:v>
                </c:pt>
                <c:pt idx="26">
                  <c:v>4.5349310356170673E-2</c:v>
                </c:pt>
                <c:pt idx="27">
                  <c:v>4.5349310356170687E-2</c:v>
                </c:pt>
                <c:pt idx="28">
                  <c:v>4.5349310356170687E-2</c:v>
                </c:pt>
                <c:pt idx="29">
                  <c:v>4.534931035617068E-2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08A-0449-8C6D-9923124B2875}"/>
            </c:ext>
          </c:extLst>
        </c:ser>
        <c:ser>
          <c:idx val="19"/>
          <c:order val="26"/>
          <c:tx>
            <c:v>Silicon Oil 5 cSt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data!$H$433:$H$462</c:f>
              <c:numCache>
                <c:formatCode>0.000</c:formatCode>
                <c:ptCount val="30"/>
                <c:pt idx="0">
                  <c:v>1.7754954070414832</c:v>
                </c:pt>
                <c:pt idx="1">
                  <c:v>1.3316215552811124</c:v>
                </c:pt>
                <c:pt idx="2">
                  <c:v>0.88774770352074162</c:v>
                </c:pt>
                <c:pt idx="3">
                  <c:v>0.44387385176037081</c:v>
                </c:pt>
                <c:pt idx="4">
                  <c:v>0.1775495407041483</c:v>
                </c:pt>
                <c:pt idx="5">
                  <c:v>2.3607145635523628</c:v>
                </c:pt>
                <c:pt idx="6">
                  <c:v>1.7705359226642718</c:v>
                </c:pt>
                <c:pt idx="7">
                  <c:v>1.1803572817761814</c:v>
                </c:pt>
                <c:pt idx="8">
                  <c:v>0.59017864088809069</c:v>
                </c:pt>
                <c:pt idx="9">
                  <c:v>0.23607145635523621</c:v>
                </c:pt>
                <c:pt idx="10">
                  <c:v>3.0844372764662249</c:v>
                </c:pt>
                <c:pt idx="11">
                  <c:v>2.3133279573496686</c:v>
                </c:pt>
                <c:pt idx="12">
                  <c:v>1.5422186382331124</c:v>
                </c:pt>
                <c:pt idx="13">
                  <c:v>0.77110931911655622</c:v>
                </c:pt>
                <c:pt idx="14">
                  <c:v>0.30844372764662248</c:v>
                </c:pt>
                <c:pt idx="15">
                  <c:v>5.0911796009141321</c:v>
                </c:pt>
                <c:pt idx="16">
                  <c:v>3.8183847006855989</c:v>
                </c:pt>
                <c:pt idx="17">
                  <c:v>2.5455898004570661</c:v>
                </c:pt>
                <c:pt idx="18">
                  <c:v>1.272794900228533</c:v>
                </c:pt>
                <c:pt idx="19">
                  <c:v>0.50911796009141308</c:v>
                </c:pt>
                <c:pt idx="20">
                  <c:v>16.902716275034919</c:v>
                </c:pt>
                <c:pt idx="21">
                  <c:v>12.677037206276188</c:v>
                </c:pt>
                <c:pt idx="22">
                  <c:v>8.4513581375174596</c:v>
                </c:pt>
                <c:pt idx="23">
                  <c:v>4.2256790687587298</c:v>
                </c:pt>
                <c:pt idx="24">
                  <c:v>1.6902716275034915</c:v>
                </c:pt>
                <c:pt idx="25">
                  <c:v>42.256790687587298</c:v>
                </c:pt>
                <c:pt idx="26">
                  <c:v>31.692593015690473</c:v>
                </c:pt>
                <c:pt idx="27">
                  <c:v>21.128395343793649</c:v>
                </c:pt>
                <c:pt idx="28">
                  <c:v>10.564197671896824</c:v>
                </c:pt>
                <c:pt idx="29">
                  <c:v>4.2256790687587289</c:v>
                </c:pt>
              </c:numCache>
            </c:numRef>
          </c:xVal>
          <c:yVal>
            <c:numRef>
              <c:f>data!$J$433:$J$461</c:f>
              <c:numCache>
                <c:formatCode>0.000</c:formatCode>
                <c:ptCount val="29"/>
                <c:pt idx="0">
                  <c:v>2.2542648158367821E-2</c:v>
                </c:pt>
                <c:pt idx="1">
                  <c:v>2.2542648158367817E-2</c:v>
                </c:pt>
                <c:pt idx="2">
                  <c:v>2.2542648158367821E-2</c:v>
                </c:pt>
                <c:pt idx="3">
                  <c:v>2.2542648158367821E-2</c:v>
                </c:pt>
                <c:pt idx="4">
                  <c:v>2.2542648158367817E-2</c:v>
                </c:pt>
                <c:pt idx="5">
                  <c:v>2.5993627782312428E-2</c:v>
                </c:pt>
                <c:pt idx="6">
                  <c:v>2.5993627782312432E-2</c:v>
                </c:pt>
                <c:pt idx="7">
                  <c:v>2.5993627782312428E-2</c:v>
                </c:pt>
                <c:pt idx="8">
                  <c:v>2.5993627782312428E-2</c:v>
                </c:pt>
                <c:pt idx="9">
                  <c:v>2.5993627782312435E-2</c:v>
                </c:pt>
                <c:pt idx="10">
                  <c:v>2.971208491949719E-2</c:v>
                </c:pt>
                <c:pt idx="11">
                  <c:v>2.9712084919497186E-2</c:v>
                </c:pt>
                <c:pt idx="12">
                  <c:v>2.971208491949719E-2</c:v>
                </c:pt>
                <c:pt idx="13">
                  <c:v>2.971208491949719E-2</c:v>
                </c:pt>
                <c:pt idx="14">
                  <c:v>2.971208491949719E-2</c:v>
                </c:pt>
                <c:pt idx="15">
                  <c:v>3.8172830599484724E-2</c:v>
                </c:pt>
                <c:pt idx="16">
                  <c:v>3.8172830599484717E-2</c:v>
                </c:pt>
                <c:pt idx="17">
                  <c:v>3.8172830599484724E-2</c:v>
                </c:pt>
                <c:pt idx="18">
                  <c:v>3.8172830599484724E-2</c:v>
                </c:pt>
                <c:pt idx="19">
                  <c:v>3.8172830599484731E-2</c:v>
                </c:pt>
                <c:pt idx="20">
                  <c:v>6.9554207540906521E-2</c:v>
                </c:pt>
                <c:pt idx="21">
                  <c:v>6.9554207540906521E-2</c:v>
                </c:pt>
                <c:pt idx="22">
                  <c:v>6.9554207540906521E-2</c:v>
                </c:pt>
                <c:pt idx="23">
                  <c:v>6.9554207540906521E-2</c:v>
                </c:pt>
                <c:pt idx="24">
                  <c:v>6.9554207540906535E-2</c:v>
                </c:pt>
                <c:pt idx="25">
                  <c:v>0.10997485833866186</c:v>
                </c:pt>
                <c:pt idx="26">
                  <c:v>0.10997485833866186</c:v>
                </c:pt>
                <c:pt idx="27">
                  <c:v>0.10997485833866186</c:v>
                </c:pt>
                <c:pt idx="28">
                  <c:v>0.10997485833866186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08A-0449-8C6D-9923124B2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956368"/>
        <c:axId val="352958080"/>
      </c:scatterChart>
      <c:valAx>
        <c:axId val="352956368"/>
        <c:scaling>
          <c:logBase val="10"/>
          <c:orientation val="minMax"/>
          <c:max val="250"/>
          <c:min val="1E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0">
                    <a:solidFill>
                      <a:schemeClr val="tx1"/>
                    </a:solidFill>
                  </a:rPr>
                  <a:t>Reynolds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958080"/>
        <c:crossesAt val="1E-3"/>
        <c:crossBetween val="midCat"/>
      </c:valAx>
      <c:valAx>
        <c:axId val="352958080"/>
        <c:scaling>
          <c:logBase val="10"/>
          <c:orientation val="minMax"/>
          <c:max val="10"/>
          <c:min val="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>
                    <a:solidFill>
                      <a:schemeClr val="tx1"/>
                    </a:solidFill>
                  </a:rPr>
                  <a:t>Ohnesorge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956368"/>
        <c:crossesAt val="1E-3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914559075538596"/>
          <c:y val="5.0299403569211351E-2"/>
          <c:w val="0.17007395183634189"/>
          <c:h val="0.740119748225741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reference</c:v>
          </c:tx>
          <c:spPr>
            <a:ln w="28575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Properties!$A$5:$A$26</c:f>
              <c:numCache>
                <c:formatCode>General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83</c:v>
                </c:pt>
                <c:pt idx="18">
                  <c:v>84.5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</c:numCache>
            </c:numRef>
          </c:xVal>
          <c:yVal>
            <c:numRef>
              <c:f>Properties!$D$5:$D$26</c:f>
              <c:numCache>
                <c:formatCode>General</c:formatCode>
                <c:ptCount val="22"/>
                <c:pt idx="0">
                  <c:v>1.01E-3</c:v>
                </c:pt>
                <c:pt idx="2">
                  <c:v>1.2700000000000001E-3</c:v>
                </c:pt>
                <c:pt idx="4">
                  <c:v>1.6800000000000001E-3</c:v>
                </c:pt>
                <c:pt idx="6">
                  <c:v>2.32E-3</c:v>
                </c:pt>
                <c:pt idx="8">
                  <c:v>3.3400000000000001E-3</c:v>
                </c:pt>
                <c:pt idx="10">
                  <c:v>5.2599999999999999E-3</c:v>
                </c:pt>
                <c:pt idx="12">
                  <c:v>9.1699999999999993E-3</c:v>
                </c:pt>
                <c:pt idx="14">
                  <c:v>1.8599999999999998E-2</c:v>
                </c:pt>
                <c:pt idx="16">
                  <c:v>4.6300000000000001E-2</c:v>
                </c:pt>
                <c:pt idx="19">
                  <c:v>0.186</c:v>
                </c:pt>
                <c:pt idx="20">
                  <c:v>0.42699999999999999</c:v>
                </c:pt>
                <c:pt idx="21">
                  <c:v>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02-0048-BF9A-7A0DC0EC62FE}"/>
            </c:ext>
          </c:extLst>
        </c:ser>
        <c:ser>
          <c:idx val="1"/>
          <c:order val="1"/>
          <c:tx>
            <c:v>Jingtao's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Properties!$A$5:$A$26</c:f>
              <c:numCache>
                <c:formatCode>General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83</c:v>
                </c:pt>
                <c:pt idx="18">
                  <c:v>84.5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</c:numCache>
            </c:numRef>
          </c:xVal>
          <c:yVal>
            <c:numRef>
              <c:f>Properties!$E$5:$E$26</c:f>
              <c:numCache>
                <c:formatCode>General</c:formatCode>
                <c:ptCount val="22"/>
                <c:pt idx="0">
                  <c:v>1E-3</c:v>
                </c:pt>
                <c:pt idx="2">
                  <c:v>1.5E-3</c:v>
                </c:pt>
                <c:pt idx="6">
                  <c:v>2.8E-3</c:v>
                </c:pt>
                <c:pt idx="10">
                  <c:v>6.7999999999999996E-3</c:v>
                </c:pt>
                <c:pt idx="12">
                  <c:v>1.2076999999999999E-2</c:v>
                </c:pt>
                <c:pt idx="14">
                  <c:v>3.2899999999999999E-2</c:v>
                </c:pt>
                <c:pt idx="16">
                  <c:v>5.6500000000000002E-2</c:v>
                </c:pt>
                <c:pt idx="19">
                  <c:v>0.22509999999999999</c:v>
                </c:pt>
                <c:pt idx="20">
                  <c:v>0.50529999999999997</c:v>
                </c:pt>
                <c:pt idx="21">
                  <c:v>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02-0048-BF9A-7A0DC0EC62FE}"/>
            </c:ext>
          </c:extLst>
        </c:ser>
        <c:ser>
          <c:idx val="2"/>
          <c:order val="2"/>
          <c:tx>
            <c:v>all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og"/>
            <c:forward val="10"/>
            <c:dispRSqr val="0"/>
            <c:dispEq val="0"/>
          </c:trendline>
          <c:xVal>
            <c:numRef>
              <c:f>Properties!$I$5:$I$32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70</c:v>
                </c:pt>
                <c:pt idx="13">
                  <c:v>80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100</c:v>
                </c:pt>
                <c:pt idx="18">
                  <c:v>5</c:v>
                </c:pt>
                <c:pt idx="19">
                  <c:v>15</c:v>
                </c:pt>
                <c:pt idx="20">
                  <c:v>25</c:v>
                </c:pt>
                <c:pt idx="21">
                  <c:v>35</c:v>
                </c:pt>
                <c:pt idx="22">
                  <c:v>45</c:v>
                </c:pt>
                <c:pt idx="23">
                  <c:v>55</c:v>
                </c:pt>
                <c:pt idx="24">
                  <c:v>65</c:v>
                </c:pt>
                <c:pt idx="25">
                  <c:v>75</c:v>
                </c:pt>
                <c:pt idx="26">
                  <c:v>83</c:v>
                </c:pt>
                <c:pt idx="27">
                  <c:v>84.5</c:v>
                </c:pt>
              </c:numCache>
            </c:numRef>
          </c:xVal>
          <c:yVal>
            <c:numRef>
              <c:f>Properties!$K$5:$K$32</c:f>
              <c:numCache>
                <c:formatCode>General</c:formatCode>
                <c:ptCount val="28"/>
                <c:pt idx="0">
                  <c:v>1E-3</c:v>
                </c:pt>
                <c:pt idx="1">
                  <c:v>1.01E-3</c:v>
                </c:pt>
                <c:pt idx="2">
                  <c:v>1.2700000000000001E-3</c:v>
                </c:pt>
                <c:pt idx="3">
                  <c:v>1.5E-3</c:v>
                </c:pt>
                <c:pt idx="4">
                  <c:v>1.6800000000000001E-3</c:v>
                </c:pt>
                <c:pt idx="5">
                  <c:v>2.32E-3</c:v>
                </c:pt>
                <c:pt idx="6">
                  <c:v>2.8E-3</c:v>
                </c:pt>
                <c:pt idx="7">
                  <c:v>3.3400000000000001E-3</c:v>
                </c:pt>
                <c:pt idx="8">
                  <c:v>5.2599999999999999E-3</c:v>
                </c:pt>
                <c:pt idx="9">
                  <c:v>6.7999999999999996E-3</c:v>
                </c:pt>
                <c:pt idx="10">
                  <c:v>9.1699999999999993E-3</c:v>
                </c:pt>
                <c:pt idx="11">
                  <c:v>1.8599999999999998E-2</c:v>
                </c:pt>
                <c:pt idx="12">
                  <c:v>3.2899999999999999E-2</c:v>
                </c:pt>
                <c:pt idx="13">
                  <c:v>4.6300000000000001E-2</c:v>
                </c:pt>
                <c:pt idx="14">
                  <c:v>0.186</c:v>
                </c:pt>
                <c:pt idx="15">
                  <c:v>0.42699999999999999</c:v>
                </c:pt>
                <c:pt idx="16">
                  <c:v>1.35</c:v>
                </c:pt>
                <c:pt idx="17">
                  <c:v>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F02-0048-BF9A-7A0DC0EC6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94719"/>
        <c:axId val="166434943"/>
      </c:scatterChart>
      <c:valAx>
        <c:axId val="166394719"/>
        <c:scaling>
          <c:orientation val="minMax"/>
          <c:max val="105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chemeClr val="tx1"/>
                    </a:solidFill>
                  </a:rPr>
                  <a:t>concentration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34943"/>
        <c:crosses val="autoZero"/>
        <c:crossBetween val="midCat"/>
      </c:valAx>
      <c:valAx>
        <c:axId val="166434943"/>
        <c:scaling>
          <c:logBase val="10"/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viscosity</a:t>
                </a:r>
                <a:r>
                  <a:rPr lang="en-GB" sz="1600" baseline="0">
                    <a:solidFill>
                      <a:schemeClr val="tx1"/>
                    </a:solidFill>
                  </a:rPr>
                  <a:t> /Pa s</a:t>
                </a:r>
              </a:p>
            </c:rich>
          </c:tx>
          <c:layout>
            <c:manualLayout>
              <c:xMode val="edge"/>
              <c:yMode val="edge"/>
              <c:x val="1.4825267628063349E-2"/>
              <c:y val="0.21089480940156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94719"/>
        <c:crossesAt val="1E-3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W&amp;G reference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Properties!$A$5:$A$26</c:f>
              <c:numCache>
                <c:formatCode>General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83</c:v>
                </c:pt>
                <c:pt idx="18">
                  <c:v>84.5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</c:numCache>
            </c:numRef>
          </c:xVal>
          <c:yVal>
            <c:numRef>
              <c:f>Properties!$F$5:$F$26</c:f>
              <c:numCache>
                <c:formatCode>General</c:formatCode>
                <c:ptCount val="22"/>
                <c:pt idx="0">
                  <c:v>7.1800000000000003E-2</c:v>
                </c:pt>
                <c:pt idx="1">
                  <c:v>7.1349999999999997E-2</c:v>
                </c:pt>
                <c:pt idx="2">
                  <c:v>7.0900000000000005E-2</c:v>
                </c:pt>
                <c:pt idx="3">
                  <c:v>7.0449999999999999E-2</c:v>
                </c:pt>
                <c:pt idx="4">
                  <c:v>7.0000000000000007E-2</c:v>
                </c:pt>
                <c:pt idx="5">
                  <c:v>6.9550000000000001E-2</c:v>
                </c:pt>
                <c:pt idx="6">
                  <c:v>6.9100000000000009E-2</c:v>
                </c:pt>
                <c:pt idx="7">
                  <c:v>6.8650000000000003E-2</c:v>
                </c:pt>
                <c:pt idx="8">
                  <c:v>6.8199999999999997E-2</c:v>
                </c:pt>
                <c:pt idx="9">
                  <c:v>6.7750000000000005E-2</c:v>
                </c:pt>
                <c:pt idx="10">
                  <c:v>6.7299999999999999E-2</c:v>
                </c:pt>
                <c:pt idx="11">
                  <c:v>6.6850000000000007E-2</c:v>
                </c:pt>
                <c:pt idx="12">
                  <c:v>6.6400000000000001E-2</c:v>
                </c:pt>
                <c:pt idx="13">
                  <c:v>6.5950000000000009E-2</c:v>
                </c:pt>
                <c:pt idx="14">
                  <c:v>6.5500000000000003E-2</c:v>
                </c:pt>
                <c:pt idx="15">
                  <c:v>6.5049999999999997E-2</c:v>
                </c:pt>
                <c:pt idx="16">
                  <c:v>6.4600000000000005E-2</c:v>
                </c:pt>
                <c:pt idx="17">
                  <c:v>6.4329999999999998E-2</c:v>
                </c:pt>
                <c:pt idx="18">
                  <c:v>6.4195000000000002E-2</c:v>
                </c:pt>
                <c:pt idx="19">
                  <c:v>6.3700000000000007E-2</c:v>
                </c:pt>
                <c:pt idx="20">
                  <c:v>6.3250000000000001E-2</c:v>
                </c:pt>
                <c:pt idx="21">
                  <c:v>6.2800000000000009E-2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6B-3740-BD85-9AA9F08DC436}"/>
            </c:ext>
          </c:extLst>
        </c:ser>
        <c:ser>
          <c:idx val="1"/>
          <c:order val="1"/>
          <c:tx>
            <c:v>W&amp;G measured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Properties!$A$5:$A$26</c:f>
              <c:numCache>
                <c:formatCode>General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83</c:v>
                </c:pt>
                <c:pt idx="18">
                  <c:v>84.5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</c:numCache>
            </c:numRef>
          </c:xVal>
          <c:yVal>
            <c:numRef>
              <c:f>Properties!$G$5:$G$26</c:f>
              <c:numCache>
                <c:formatCode>General</c:formatCode>
                <c:ptCount val="22"/>
                <c:pt idx="0">
                  <c:v>7.1999999999999995E-2</c:v>
                </c:pt>
                <c:pt idx="2">
                  <c:v>7.1999999999999995E-2</c:v>
                </c:pt>
                <c:pt idx="6">
                  <c:v>6.9199999999999998E-2</c:v>
                </c:pt>
                <c:pt idx="10">
                  <c:v>6.7400000000000002E-2</c:v>
                </c:pt>
                <c:pt idx="14">
                  <c:v>6.5799999999999997E-2</c:v>
                </c:pt>
                <c:pt idx="21">
                  <c:v>6.2799999999999995E-2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6B-3740-BD85-9AA9F08DC436}"/>
            </c:ext>
          </c:extLst>
        </c:ser>
        <c:ser>
          <c:idx val="2"/>
          <c:order val="2"/>
          <c:tx>
            <c:v>all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850916918060184"/>
                  <c:y val="-0.536755167493025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Properties!$I$5:$I$32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70</c:v>
                </c:pt>
                <c:pt idx="13">
                  <c:v>80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100</c:v>
                </c:pt>
                <c:pt idx="18">
                  <c:v>5</c:v>
                </c:pt>
                <c:pt idx="19">
                  <c:v>15</c:v>
                </c:pt>
                <c:pt idx="20">
                  <c:v>25</c:v>
                </c:pt>
                <c:pt idx="21">
                  <c:v>35</c:v>
                </c:pt>
                <c:pt idx="22">
                  <c:v>45</c:v>
                </c:pt>
                <c:pt idx="23">
                  <c:v>55</c:v>
                </c:pt>
                <c:pt idx="24">
                  <c:v>65</c:v>
                </c:pt>
                <c:pt idx="25">
                  <c:v>75</c:v>
                </c:pt>
                <c:pt idx="26">
                  <c:v>83</c:v>
                </c:pt>
                <c:pt idx="27">
                  <c:v>84.5</c:v>
                </c:pt>
              </c:numCache>
            </c:numRef>
          </c:xVal>
          <c:yVal>
            <c:numRef>
              <c:f>Properties!$L$5:$L$32</c:f>
              <c:numCache>
                <c:formatCode>General</c:formatCode>
                <c:ptCount val="28"/>
                <c:pt idx="0">
                  <c:v>7.1999999999999995E-2</c:v>
                </c:pt>
                <c:pt idx="1">
                  <c:v>7.1800000000000003E-2</c:v>
                </c:pt>
                <c:pt idx="2">
                  <c:v>7.0900000000000005E-2</c:v>
                </c:pt>
                <c:pt idx="3">
                  <c:v>7.1999999999999995E-2</c:v>
                </c:pt>
                <c:pt idx="4">
                  <c:v>7.0000000000000007E-2</c:v>
                </c:pt>
                <c:pt idx="5">
                  <c:v>6.9100000000000009E-2</c:v>
                </c:pt>
                <c:pt idx="6">
                  <c:v>6.9199999999999998E-2</c:v>
                </c:pt>
                <c:pt idx="7">
                  <c:v>6.8199999999999997E-2</c:v>
                </c:pt>
                <c:pt idx="8">
                  <c:v>6.7299999999999999E-2</c:v>
                </c:pt>
                <c:pt idx="9">
                  <c:v>6.7400000000000002E-2</c:v>
                </c:pt>
                <c:pt idx="10">
                  <c:v>6.6400000000000001E-2</c:v>
                </c:pt>
                <c:pt idx="11">
                  <c:v>6.5500000000000003E-2</c:v>
                </c:pt>
                <c:pt idx="12">
                  <c:v>6.5799999999999997E-2</c:v>
                </c:pt>
                <c:pt idx="13">
                  <c:v>6.4600000000000005E-2</c:v>
                </c:pt>
                <c:pt idx="14">
                  <c:v>6.3700000000000007E-2</c:v>
                </c:pt>
                <c:pt idx="15">
                  <c:v>6.3250000000000001E-2</c:v>
                </c:pt>
                <c:pt idx="16">
                  <c:v>6.2800000000000009E-2</c:v>
                </c:pt>
                <c:pt idx="17">
                  <c:v>6.2799999999999995E-2</c:v>
                </c:pt>
                <c:pt idx="18">
                  <c:v>7.1349999999999997E-2</c:v>
                </c:pt>
                <c:pt idx="19">
                  <c:v>7.0449999999999999E-2</c:v>
                </c:pt>
                <c:pt idx="20">
                  <c:v>6.9550000000000001E-2</c:v>
                </c:pt>
                <c:pt idx="21">
                  <c:v>6.8650000000000003E-2</c:v>
                </c:pt>
                <c:pt idx="22">
                  <c:v>6.7750000000000005E-2</c:v>
                </c:pt>
                <c:pt idx="23">
                  <c:v>6.6850000000000007E-2</c:v>
                </c:pt>
                <c:pt idx="24">
                  <c:v>6.5950000000000009E-2</c:v>
                </c:pt>
                <c:pt idx="25">
                  <c:v>6.5049999999999997E-2</c:v>
                </c:pt>
                <c:pt idx="26">
                  <c:v>6.4329999999999998E-2</c:v>
                </c:pt>
                <c:pt idx="27">
                  <c:v>6.4195000000000002E-2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6B-3740-BD85-9AA9F08DC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94719"/>
        <c:axId val="166434943"/>
      </c:scatterChart>
      <c:valAx>
        <c:axId val="166394719"/>
        <c:scaling>
          <c:orientation val="minMax"/>
          <c:max val="10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chemeClr val="tx1"/>
                    </a:solidFill>
                  </a:rPr>
                  <a:t>concentration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34943"/>
        <c:crosses val="autoZero"/>
        <c:crossBetween val="midCat"/>
      </c:valAx>
      <c:valAx>
        <c:axId val="16643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aseline="0">
                    <a:solidFill>
                      <a:schemeClr val="tx1"/>
                    </a:solidFill>
                  </a:rPr>
                  <a:t>suface tension / N/m</a:t>
                </a:r>
              </a:p>
            </c:rich>
          </c:tx>
          <c:layout>
            <c:manualLayout>
              <c:xMode val="edge"/>
              <c:yMode val="edge"/>
              <c:x val="1.4825267628063349E-2"/>
              <c:y val="0.21089480940156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94719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Reference</c:v>
          </c:tx>
          <c:spPr>
            <a:ln w="28575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Properties!$A$5:$A$26</c:f>
              <c:numCache>
                <c:formatCode>General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83</c:v>
                </c:pt>
                <c:pt idx="18">
                  <c:v>84.5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</c:numCache>
            </c:numRef>
          </c:xVal>
          <c:yVal>
            <c:numRef>
              <c:f>Properties!$B$5:$B$26</c:f>
              <c:numCache>
                <c:formatCode>General</c:formatCode>
                <c:ptCount val="22"/>
                <c:pt idx="0">
                  <c:v>996.13</c:v>
                </c:pt>
                <c:pt idx="1">
                  <c:v>1009.4204999999999</c:v>
                </c:pt>
                <c:pt idx="2">
                  <c:v>1022.711</c:v>
                </c:pt>
                <c:pt idx="3">
                  <c:v>1036.0015000000001</c:v>
                </c:pt>
                <c:pt idx="4">
                  <c:v>1049.2919999999999</c:v>
                </c:pt>
                <c:pt idx="5">
                  <c:v>1062.5825</c:v>
                </c:pt>
                <c:pt idx="6">
                  <c:v>1075.873</c:v>
                </c:pt>
                <c:pt idx="7">
                  <c:v>1089.1635000000001</c:v>
                </c:pt>
                <c:pt idx="8">
                  <c:v>1102.454</c:v>
                </c:pt>
                <c:pt idx="9">
                  <c:v>1115.7445</c:v>
                </c:pt>
                <c:pt idx="10">
                  <c:v>1129.0350000000001</c:v>
                </c:pt>
                <c:pt idx="11">
                  <c:v>1142.3254999999999</c:v>
                </c:pt>
                <c:pt idx="12">
                  <c:v>1155.616</c:v>
                </c:pt>
                <c:pt idx="13">
                  <c:v>1168.9065000000001</c:v>
                </c:pt>
                <c:pt idx="14">
                  <c:v>1182.1970000000001</c:v>
                </c:pt>
                <c:pt idx="15">
                  <c:v>1195.4875</c:v>
                </c:pt>
                <c:pt idx="16">
                  <c:v>1208.778</c:v>
                </c:pt>
                <c:pt idx="17">
                  <c:v>1216.7523000000001</c:v>
                </c:pt>
                <c:pt idx="18">
                  <c:v>1220.73945</c:v>
                </c:pt>
                <c:pt idx="19">
                  <c:v>1235.3589999999999</c:v>
                </c:pt>
                <c:pt idx="20">
                  <c:v>1248.6495</c:v>
                </c:pt>
                <c:pt idx="21">
                  <c:v>1261.94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BF-244E-8DD7-91752CAB741B}"/>
            </c:ext>
          </c:extLst>
        </c:ser>
        <c:ser>
          <c:idx val="1"/>
          <c:order val="1"/>
          <c:tx>
            <c:v>Jingtao's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Properties!$A$5:$A$26</c:f>
              <c:numCache>
                <c:formatCode>General</c:formatCode>
                <c:ptCount val="2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83</c:v>
                </c:pt>
                <c:pt idx="18">
                  <c:v>84.5</c:v>
                </c:pt>
                <c:pt idx="19">
                  <c:v>90</c:v>
                </c:pt>
                <c:pt idx="20">
                  <c:v>95</c:v>
                </c:pt>
                <c:pt idx="21">
                  <c:v>100</c:v>
                </c:pt>
              </c:numCache>
            </c:numRef>
          </c:xVal>
          <c:yVal>
            <c:numRef>
              <c:f>Properties!$C$5:$C$26</c:f>
              <c:numCache>
                <c:formatCode>General</c:formatCode>
                <c:ptCount val="22"/>
                <c:pt idx="0">
                  <c:v>1000</c:v>
                </c:pt>
                <c:pt idx="2">
                  <c:v>1005</c:v>
                </c:pt>
                <c:pt idx="6">
                  <c:v>1033</c:v>
                </c:pt>
                <c:pt idx="10">
                  <c:v>1082</c:v>
                </c:pt>
                <c:pt idx="14">
                  <c:v>1156</c:v>
                </c:pt>
                <c:pt idx="16">
                  <c:v>1187</c:v>
                </c:pt>
                <c:pt idx="19">
                  <c:v>1206</c:v>
                </c:pt>
                <c:pt idx="20">
                  <c:v>1230</c:v>
                </c:pt>
                <c:pt idx="21">
                  <c:v>1248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BF-244E-8DD7-91752CAB741B}"/>
            </c:ext>
          </c:extLst>
        </c:ser>
        <c:ser>
          <c:idx val="2"/>
          <c:order val="2"/>
          <c:tx>
            <c:v>all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3527283950406185"/>
                  <c:y val="0.297547967592698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Properties!$I$5:$I$32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30</c:v>
                </c:pt>
                <c:pt idx="7">
                  <c:v>40</c:v>
                </c:pt>
                <c:pt idx="8">
                  <c:v>50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70</c:v>
                </c:pt>
                <c:pt idx="13">
                  <c:v>80</c:v>
                </c:pt>
                <c:pt idx="14">
                  <c:v>90</c:v>
                </c:pt>
                <c:pt idx="15">
                  <c:v>95</c:v>
                </c:pt>
                <c:pt idx="16">
                  <c:v>100</c:v>
                </c:pt>
                <c:pt idx="17">
                  <c:v>100</c:v>
                </c:pt>
                <c:pt idx="18">
                  <c:v>5</c:v>
                </c:pt>
                <c:pt idx="19">
                  <c:v>15</c:v>
                </c:pt>
                <c:pt idx="20">
                  <c:v>25</c:v>
                </c:pt>
                <c:pt idx="21">
                  <c:v>35</c:v>
                </c:pt>
                <c:pt idx="22">
                  <c:v>45</c:v>
                </c:pt>
                <c:pt idx="23">
                  <c:v>55</c:v>
                </c:pt>
                <c:pt idx="24">
                  <c:v>65</c:v>
                </c:pt>
                <c:pt idx="25">
                  <c:v>75</c:v>
                </c:pt>
                <c:pt idx="26">
                  <c:v>83</c:v>
                </c:pt>
                <c:pt idx="27">
                  <c:v>84.5</c:v>
                </c:pt>
              </c:numCache>
            </c:numRef>
          </c:xVal>
          <c:yVal>
            <c:numRef>
              <c:f>Properties!$J$5:$J$32</c:f>
              <c:numCache>
                <c:formatCode>General</c:formatCode>
                <c:ptCount val="28"/>
                <c:pt idx="0">
                  <c:v>1000</c:v>
                </c:pt>
                <c:pt idx="1">
                  <c:v>996.13</c:v>
                </c:pt>
                <c:pt idx="2">
                  <c:v>1022.711</c:v>
                </c:pt>
                <c:pt idx="3">
                  <c:v>1005</c:v>
                </c:pt>
                <c:pt idx="4">
                  <c:v>1049.2919999999999</c:v>
                </c:pt>
                <c:pt idx="5">
                  <c:v>1075.873</c:v>
                </c:pt>
                <c:pt idx="6">
                  <c:v>1033</c:v>
                </c:pt>
                <c:pt idx="7">
                  <c:v>1102.454</c:v>
                </c:pt>
                <c:pt idx="8">
                  <c:v>1129.0350000000001</c:v>
                </c:pt>
                <c:pt idx="9">
                  <c:v>1082</c:v>
                </c:pt>
                <c:pt idx="10">
                  <c:v>1155.616</c:v>
                </c:pt>
                <c:pt idx="11">
                  <c:v>1182.1970000000001</c:v>
                </c:pt>
                <c:pt idx="12">
                  <c:v>1156</c:v>
                </c:pt>
                <c:pt idx="13">
                  <c:v>1208.778</c:v>
                </c:pt>
                <c:pt idx="14">
                  <c:v>1235.3589999999999</c:v>
                </c:pt>
                <c:pt idx="15">
                  <c:v>1248.6495</c:v>
                </c:pt>
                <c:pt idx="16">
                  <c:v>1261.94</c:v>
                </c:pt>
                <c:pt idx="17">
                  <c:v>1248</c:v>
                </c:pt>
                <c:pt idx="18">
                  <c:v>1009.4204999999999</c:v>
                </c:pt>
                <c:pt idx="19">
                  <c:v>1036.0015000000001</c:v>
                </c:pt>
                <c:pt idx="20">
                  <c:v>1062.5825</c:v>
                </c:pt>
                <c:pt idx="21">
                  <c:v>1089.1635000000001</c:v>
                </c:pt>
                <c:pt idx="22">
                  <c:v>1115.7445</c:v>
                </c:pt>
                <c:pt idx="23">
                  <c:v>1142.3254999999999</c:v>
                </c:pt>
                <c:pt idx="24">
                  <c:v>1168.9065000000001</c:v>
                </c:pt>
                <c:pt idx="25">
                  <c:v>1195.4875</c:v>
                </c:pt>
                <c:pt idx="26">
                  <c:v>1216.7523000000001</c:v>
                </c:pt>
                <c:pt idx="27">
                  <c:v>1220.73945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BF-244E-8DD7-91752CAB7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94719"/>
        <c:axId val="166434943"/>
      </c:scatterChart>
      <c:valAx>
        <c:axId val="166394719"/>
        <c:scaling>
          <c:orientation val="minMax"/>
          <c:max val="10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chemeClr val="tx1"/>
                    </a:solidFill>
                  </a:rPr>
                  <a:t>concentration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34943"/>
        <c:crosses val="autoZero"/>
        <c:crossBetween val="midCat"/>
      </c:valAx>
      <c:valAx>
        <c:axId val="1664349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aseline="0">
                    <a:solidFill>
                      <a:schemeClr val="tx1"/>
                    </a:solidFill>
                  </a:rPr>
                  <a:t>density / kg/m^3</a:t>
                </a:r>
              </a:p>
            </c:rich>
          </c:tx>
          <c:layout>
            <c:manualLayout>
              <c:xMode val="edge"/>
              <c:yMode val="edge"/>
              <c:x val="1.4825267628063349E-2"/>
              <c:y val="0.21089480940156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94719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Properties!$D$34:$D$38</c:f>
              <c:numCache>
                <c:formatCode>General</c:formatCode>
                <c:ptCount val="5"/>
                <c:pt idx="0">
                  <c:v>2E-3</c:v>
                </c:pt>
                <c:pt idx="1">
                  <c:v>4.5999999999999999E-3</c:v>
                </c:pt>
                <c:pt idx="2">
                  <c:v>1.9099999999999999E-2</c:v>
                </c:pt>
              </c:numCache>
            </c:numRef>
          </c:xVal>
          <c:yVal>
            <c:numRef>
              <c:f>Properties!$F$34:$F$38</c:f>
              <c:numCache>
                <c:formatCode>General</c:formatCode>
                <c:ptCount val="5"/>
                <c:pt idx="0">
                  <c:v>1.7899999999999999E-2</c:v>
                </c:pt>
                <c:pt idx="1">
                  <c:v>1.9699999999999999E-2</c:v>
                </c:pt>
                <c:pt idx="2">
                  <c:v>2.0799999999999999E-2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DB-F740-A915-5B8792A0F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94719"/>
        <c:axId val="166434943"/>
      </c:scatterChart>
      <c:valAx>
        <c:axId val="166394719"/>
        <c:scaling>
          <c:orientation val="minMax"/>
          <c:max val="0.0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chemeClr val="tx1"/>
                    </a:solidFill>
                  </a:rPr>
                  <a:t>viscosity, Pa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34943"/>
        <c:crosses val="autoZero"/>
        <c:crossBetween val="midCat"/>
      </c:valAx>
      <c:valAx>
        <c:axId val="16643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aseline="0">
                    <a:solidFill>
                      <a:schemeClr val="tx1"/>
                    </a:solidFill>
                  </a:rPr>
                  <a:t>suface tension / N/m</a:t>
                </a:r>
              </a:p>
            </c:rich>
          </c:tx>
          <c:layout>
            <c:manualLayout>
              <c:xMode val="edge"/>
              <c:yMode val="edge"/>
              <c:x val="1.4825267628063349E-2"/>
              <c:y val="0.21089480940156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94719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Properties!$D$34:$D$38</c:f>
              <c:numCache>
                <c:formatCode>General</c:formatCode>
                <c:ptCount val="5"/>
                <c:pt idx="0">
                  <c:v>2E-3</c:v>
                </c:pt>
                <c:pt idx="1">
                  <c:v>4.5999999999999999E-3</c:v>
                </c:pt>
                <c:pt idx="2">
                  <c:v>1.9099999999999999E-2</c:v>
                </c:pt>
              </c:numCache>
            </c:numRef>
          </c:xVal>
          <c:yVal>
            <c:numRef>
              <c:f>Properties!$B$34:$B$38</c:f>
              <c:numCache>
                <c:formatCode>General</c:formatCode>
                <c:ptCount val="5"/>
                <c:pt idx="0">
                  <c:v>900</c:v>
                </c:pt>
                <c:pt idx="1">
                  <c:v>916</c:v>
                </c:pt>
                <c:pt idx="2">
                  <c:v>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94-C844-A20C-CAE630C7D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94719"/>
        <c:axId val="166434943"/>
      </c:scatterChart>
      <c:valAx>
        <c:axId val="166394719"/>
        <c:scaling>
          <c:orientation val="minMax"/>
          <c:max val="0.0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chemeClr val="tx1"/>
                    </a:solidFill>
                  </a:rPr>
                  <a:t>viscosity, Pa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34943"/>
        <c:crosses val="autoZero"/>
        <c:crossBetween val="midCat"/>
      </c:valAx>
      <c:valAx>
        <c:axId val="16643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aseline="0">
                    <a:solidFill>
                      <a:schemeClr val="tx1"/>
                    </a:solidFill>
                  </a:rPr>
                  <a:t>density kg/m^3</a:t>
                </a:r>
              </a:p>
            </c:rich>
          </c:tx>
          <c:layout>
            <c:manualLayout>
              <c:xMode val="edge"/>
              <c:yMode val="edge"/>
              <c:x val="1.4825267628063349E-2"/>
              <c:y val="0.21089480940156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94719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6660880631039729"/>
                  <c:y val="-1.01784536103411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Properties!$J$5:$J$32</c:f>
              <c:numCache>
                <c:formatCode>General</c:formatCode>
                <c:ptCount val="28"/>
                <c:pt idx="0">
                  <c:v>1000</c:v>
                </c:pt>
                <c:pt idx="1">
                  <c:v>996.13</c:v>
                </c:pt>
                <c:pt idx="2">
                  <c:v>1022.711</c:v>
                </c:pt>
                <c:pt idx="3">
                  <c:v>1005</c:v>
                </c:pt>
                <c:pt idx="4">
                  <c:v>1049.2919999999999</c:v>
                </c:pt>
                <c:pt idx="5">
                  <c:v>1075.873</c:v>
                </c:pt>
                <c:pt idx="6">
                  <c:v>1033</c:v>
                </c:pt>
                <c:pt idx="7">
                  <c:v>1102.454</c:v>
                </c:pt>
                <c:pt idx="8">
                  <c:v>1129.0350000000001</c:v>
                </c:pt>
                <c:pt idx="9">
                  <c:v>1082</c:v>
                </c:pt>
                <c:pt idx="10">
                  <c:v>1155.616</c:v>
                </c:pt>
                <c:pt idx="11">
                  <c:v>1182.1970000000001</c:v>
                </c:pt>
                <c:pt idx="12">
                  <c:v>1156</c:v>
                </c:pt>
                <c:pt idx="13">
                  <c:v>1208.778</c:v>
                </c:pt>
                <c:pt idx="14">
                  <c:v>1235.3589999999999</c:v>
                </c:pt>
                <c:pt idx="15">
                  <c:v>1248.6495</c:v>
                </c:pt>
                <c:pt idx="16">
                  <c:v>1261.94</c:v>
                </c:pt>
                <c:pt idx="17">
                  <c:v>1248</c:v>
                </c:pt>
                <c:pt idx="18">
                  <c:v>1009.4204999999999</c:v>
                </c:pt>
                <c:pt idx="19">
                  <c:v>1036.0015000000001</c:v>
                </c:pt>
                <c:pt idx="20">
                  <c:v>1062.5825</c:v>
                </c:pt>
                <c:pt idx="21">
                  <c:v>1089.1635000000001</c:v>
                </c:pt>
                <c:pt idx="22">
                  <c:v>1115.7445</c:v>
                </c:pt>
                <c:pt idx="23">
                  <c:v>1142.3254999999999</c:v>
                </c:pt>
                <c:pt idx="24">
                  <c:v>1168.9065000000001</c:v>
                </c:pt>
                <c:pt idx="25">
                  <c:v>1195.4875</c:v>
                </c:pt>
                <c:pt idx="26">
                  <c:v>1216.7523000000001</c:v>
                </c:pt>
                <c:pt idx="27">
                  <c:v>1220.73945</c:v>
                </c:pt>
              </c:numCache>
            </c:numRef>
          </c:xVal>
          <c:yVal>
            <c:numRef>
              <c:f>Properties!$L$5:$L$32</c:f>
              <c:numCache>
                <c:formatCode>General</c:formatCode>
                <c:ptCount val="28"/>
                <c:pt idx="0">
                  <c:v>7.1999999999999995E-2</c:v>
                </c:pt>
                <c:pt idx="1">
                  <c:v>7.1800000000000003E-2</c:v>
                </c:pt>
                <c:pt idx="2">
                  <c:v>7.0900000000000005E-2</c:v>
                </c:pt>
                <c:pt idx="3">
                  <c:v>7.1999999999999995E-2</c:v>
                </c:pt>
                <c:pt idx="4">
                  <c:v>7.0000000000000007E-2</c:v>
                </c:pt>
                <c:pt idx="5">
                  <c:v>6.9100000000000009E-2</c:v>
                </c:pt>
                <c:pt idx="6">
                  <c:v>6.9199999999999998E-2</c:v>
                </c:pt>
                <c:pt idx="7">
                  <c:v>6.8199999999999997E-2</c:v>
                </c:pt>
                <c:pt idx="8">
                  <c:v>6.7299999999999999E-2</c:v>
                </c:pt>
                <c:pt idx="9">
                  <c:v>6.7400000000000002E-2</c:v>
                </c:pt>
                <c:pt idx="10">
                  <c:v>6.6400000000000001E-2</c:v>
                </c:pt>
                <c:pt idx="11">
                  <c:v>6.5500000000000003E-2</c:v>
                </c:pt>
                <c:pt idx="12">
                  <c:v>6.5799999999999997E-2</c:v>
                </c:pt>
                <c:pt idx="13">
                  <c:v>6.4600000000000005E-2</c:v>
                </c:pt>
                <c:pt idx="14">
                  <c:v>6.3700000000000007E-2</c:v>
                </c:pt>
                <c:pt idx="15">
                  <c:v>6.3250000000000001E-2</c:v>
                </c:pt>
                <c:pt idx="16">
                  <c:v>6.2800000000000009E-2</c:v>
                </c:pt>
                <c:pt idx="17">
                  <c:v>6.2799999999999995E-2</c:v>
                </c:pt>
                <c:pt idx="18">
                  <c:v>7.1349999999999997E-2</c:v>
                </c:pt>
                <c:pt idx="19">
                  <c:v>7.0449999999999999E-2</c:v>
                </c:pt>
                <c:pt idx="20">
                  <c:v>6.9550000000000001E-2</c:v>
                </c:pt>
                <c:pt idx="21">
                  <c:v>6.8650000000000003E-2</c:v>
                </c:pt>
                <c:pt idx="22">
                  <c:v>6.7750000000000005E-2</c:v>
                </c:pt>
                <c:pt idx="23">
                  <c:v>6.6850000000000007E-2</c:v>
                </c:pt>
                <c:pt idx="24">
                  <c:v>6.5950000000000009E-2</c:v>
                </c:pt>
                <c:pt idx="25">
                  <c:v>6.5049999999999997E-2</c:v>
                </c:pt>
                <c:pt idx="26">
                  <c:v>6.4329999999999998E-2</c:v>
                </c:pt>
                <c:pt idx="27">
                  <c:v>6.4195000000000002E-2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84-F84A-B3D1-0BB99B031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94719"/>
        <c:axId val="166434943"/>
      </c:scatterChart>
      <c:valAx>
        <c:axId val="166394719"/>
        <c:scaling>
          <c:orientation val="minMax"/>
          <c:min val="9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chemeClr val="tx1"/>
                    </a:solidFill>
                  </a:rPr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34943"/>
        <c:crosses val="autoZero"/>
        <c:crossBetween val="midCat"/>
      </c:valAx>
      <c:valAx>
        <c:axId val="166434943"/>
        <c:scaling>
          <c:orientation val="minMax"/>
          <c:min val="0.0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aseline="0">
                    <a:solidFill>
                      <a:schemeClr val="tx1"/>
                    </a:solidFill>
                  </a:rPr>
                  <a:t>surface tension</a:t>
                </a:r>
              </a:p>
            </c:rich>
          </c:tx>
          <c:layout>
            <c:manualLayout>
              <c:xMode val="edge"/>
              <c:yMode val="edge"/>
              <c:x val="1.4825267628063349E-2"/>
              <c:y val="0.21089480940156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94719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Properties!$J$5:$J$22</c:f>
              <c:numCache>
                <c:formatCode>General</c:formatCode>
                <c:ptCount val="18"/>
                <c:pt idx="0">
                  <c:v>1000</c:v>
                </c:pt>
                <c:pt idx="1">
                  <c:v>996.13</c:v>
                </c:pt>
                <c:pt idx="2">
                  <c:v>1022.711</c:v>
                </c:pt>
                <c:pt idx="3">
                  <c:v>1005</c:v>
                </c:pt>
                <c:pt idx="4">
                  <c:v>1049.2919999999999</c:v>
                </c:pt>
                <c:pt idx="5">
                  <c:v>1075.873</c:v>
                </c:pt>
                <c:pt idx="6">
                  <c:v>1033</c:v>
                </c:pt>
                <c:pt idx="7">
                  <c:v>1102.454</c:v>
                </c:pt>
                <c:pt idx="8">
                  <c:v>1129.0350000000001</c:v>
                </c:pt>
                <c:pt idx="9">
                  <c:v>1082</c:v>
                </c:pt>
                <c:pt idx="10">
                  <c:v>1155.616</c:v>
                </c:pt>
                <c:pt idx="11">
                  <c:v>1182.1970000000001</c:v>
                </c:pt>
                <c:pt idx="12">
                  <c:v>1156</c:v>
                </c:pt>
                <c:pt idx="13">
                  <c:v>1208.778</c:v>
                </c:pt>
                <c:pt idx="14">
                  <c:v>1235.3589999999999</c:v>
                </c:pt>
                <c:pt idx="15">
                  <c:v>1248.6495</c:v>
                </c:pt>
                <c:pt idx="16">
                  <c:v>1261.94</c:v>
                </c:pt>
                <c:pt idx="17">
                  <c:v>1248</c:v>
                </c:pt>
              </c:numCache>
            </c:numRef>
          </c:xVal>
          <c:yVal>
            <c:numRef>
              <c:f>Properties!$K$5:$K$22</c:f>
              <c:numCache>
                <c:formatCode>General</c:formatCode>
                <c:ptCount val="18"/>
                <c:pt idx="0">
                  <c:v>1E-3</c:v>
                </c:pt>
                <c:pt idx="1">
                  <c:v>1.01E-3</c:v>
                </c:pt>
                <c:pt idx="2">
                  <c:v>1.2700000000000001E-3</c:v>
                </c:pt>
                <c:pt idx="3">
                  <c:v>1.5E-3</c:v>
                </c:pt>
                <c:pt idx="4">
                  <c:v>1.6800000000000001E-3</c:v>
                </c:pt>
                <c:pt idx="5">
                  <c:v>2.32E-3</c:v>
                </c:pt>
                <c:pt idx="6">
                  <c:v>2.8E-3</c:v>
                </c:pt>
                <c:pt idx="7">
                  <c:v>3.3400000000000001E-3</c:v>
                </c:pt>
                <c:pt idx="8">
                  <c:v>5.2599999999999999E-3</c:v>
                </c:pt>
                <c:pt idx="9">
                  <c:v>6.7999999999999996E-3</c:v>
                </c:pt>
                <c:pt idx="10">
                  <c:v>9.1699999999999993E-3</c:v>
                </c:pt>
                <c:pt idx="11">
                  <c:v>1.8599999999999998E-2</c:v>
                </c:pt>
                <c:pt idx="12">
                  <c:v>3.2899999999999999E-2</c:v>
                </c:pt>
                <c:pt idx="13">
                  <c:v>4.6300000000000001E-2</c:v>
                </c:pt>
                <c:pt idx="14">
                  <c:v>0.186</c:v>
                </c:pt>
                <c:pt idx="15">
                  <c:v>0.42699999999999999</c:v>
                </c:pt>
                <c:pt idx="16">
                  <c:v>1.35</c:v>
                </c:pt>
                <c:pt idx="17">
                  <c:v>1.35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CE-2B44-AB07-63471C4AD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94719"/>
        <c:axId val="166434943"/>
      </c:scatterChart>
      <c:valAx>
        <c:axId val="166394719"/>
        <c:scaling>
          <c:orientation val="minMax"/>
          <c:min val="9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chemeClr val="tx1"/>
                    </a:solidFill>
                  </a:rPr>
                  <a:t>density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34943"/>
        <c:crosses val="autoZero"/>
        <c:crossBetween val="midCat"/>
      </c:valAx>
      <c:valAx>
        <c:axId val="1664349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aseline="0">
                    <a:solidFill>
                      <a:schemeClr val="tx1"/>
                    </a:solidFill>
                  </a:rPr>
                  <a:t>surface tension</a:t>
                </a:r>
              </a:p>
            </c:rich>
          </c:tx>
          <c:layout>
            <c:manualLayout>
              <c:xMode val="edge"/>
              <c:yMode val="edge"/>
              <c:x val="1.4825267628063349E-2"/>
              <c:y val="0.21089480940156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94719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479112154544025E-2"/>
          <c:y val="3.1370190645129206E-2"/>
          <c:w val="0.70695314459414182"/>
          <c:h val="0.86298208819749689"/>
        </c:manualLayout>
      </c:layout>
      <c:scatterChart>
        <c:scatterStyle val="lineMarker"/>
        <c:varyColors val="0"/>
        <c:ser>
          <c:idx val="2"/>
          <c:order val="0"/>
          <c:tx>
            <c:v>water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data!$H$31:$H$56</c:f>
              <c:numCache>
                <c:formatCode>0.000</c:formatCode>
                <c:ptCount val="26"/>
                <c:pt idx="0">
                  <c:v>15.489532174393707</c:v>
                </c:pt>
                <c:pt idx="1">
                  <c:v>15.489532174393707</c:v>
                </c:pt>
                <c:pt idx="2">
                  <c:v>7.7447660871968536</c:v>
                </c:pt>
                <c:pt idx="3">
                  <c:v>7.7447660871968536</c:v>
                </c:pt>
                <c:pt idx="4">
                  <c:v>3.8723830435984268</c:v>
                </c:pt>
                <c:pt idx="5">
                  <c:v>3.8723830435984268</c:v>
                </c:pt>
                <c:pt idx="6">
                  <c:v>1.548953217439371</c:v>
                </c:pt>
                <c:pt idx="7">
                  <c:v>1.548953217439371</c:v>
                </c:pt>
                <c:pt idx="8">
                  <c:v>11.61714913079528</c:v>
                </c:pt>
                <c:pt idx="9">
                  <c:v>11.61714913079528</c:v>
                </c:pt>
                <c:pt idx="10">
                  <c:v>19.175294348421126</c:v>
                </c:pt>
                <c:pt idx="11">
                  <c:v>19.175294348421126</c:v>
                </c:pt>
                <c:pt idx="12">
                  <c:v>25.56705913122817</c:v>
                </c:pt>
                <c:pt idx="13">
                  <c:v>12.783529565614085</c:v>
                </c:pt>
                <c:pt idx="14">
                  <c:v>6.3917647828070425</c:v>
                </c:pt>
                <c:pt idx="15">
                  <c:v>2.5567059131228169</c:v>
                </c:pt>
                <c:pt idx="16">
                  <c:v>84.88263631567753</c:v>
                </c:pt>
                <c:pt idx="17">
                  <c:v>42.441318157838765</c:v>
                </c:pt>
                <c:pt idx="18">
                  <c:v>63.661977236758148</c:v>
                </c:pt>
                <c:pt idx="19">
                  <c:v>21.220659078919383</c:v>
                </c:pt>
                <c:pt idx="20">
                  <c:v>8.4882636315677527</c:v>
                </c:pt>
                <c:pt idx="21">
                  <c:v>212.2065907891938</c:v>
                </c:pt>
                <c:pt idx="22">
                  <c:v>159.15494309189535</c:v>
                </c:pt>
                <c:pt idx="23">
                  <c:v>106.1032953945969</c:v>
                </c:pt>
                <c:pt idx="24">
                  <c:v>53.051647697298449</c:v>
                </c:pt>
                <c:pt idx="25">
                  <c:v>21.220659078919383</c:v>
                </c:pt>
              </c:numCache>
            </c:numRef>
          </c:xVal>
          <c:yVal>
            <c:numRef>
              <c:f>data!$J$31:$J$56</c:f>
              <c:numCache>
                <c:formatCode>0.000</c:formatCode>
                <c:ptCount val="26"/>
                <c:pt idx="0">
                  <c:v>3.1840029995869588E-3</c:v>
                </c:pt>
                <c:pt idx="1">
                  <c:v>3.1840029995869588E-3</c:v>
                </c:pt>
                <c:pt idx="2">
                  <c:v>3.1840029995869588E-3</c:v>
                </c:pt>
                <c:pt idx="3">
                  <c:v>3.1840029995869588E-3</c:v>
                </c:pt>
                <c:pt idx="4">
                  <c:v>3.1840029995869588E-3</c:v>
                </c:pt>
                <c:pt idx="5">
                  <c:v>3.1840029995869588E-3</c:v>
                </c:pt>
                <c:pt idx="6">
                  <c:v>3.1840029995869584E-3</c:v>
                </c:pt>
                <c:pt idx="7">
                  <c:v>3.1840029995869584E-3</c:v>
                </c:pt>
                <c:pt idx="8">
                  <c:v>3.1840029995869588E-3</c:v>
                </c:pt>
                <c:pt idx="9">
                  <c:v>3.1840029995869588E-3</c:v>
                </c:pt>
                <c:pt idx="10">
                  <c:v>4.0906724472817993E-3</c:v>
                </c:pt>
                <c:pt idx="11">
                  <c:v>4.0906724472817993E-3</c:v>
                </c:pt>
                <c:pt idx="12">
                  <c:v>4.0906724472817993E-3</c:v>
                </c:pt>
                <c:pt idx="13">
                  <c:v>4.0906724472817993E-3</c:v>
                </c:pt>
                <c:pt idx="14">
                  <c:v>4.0906724472817993E-3</c:v>
                </c:pt>
                <c:pt idx="15">
                  <c:v>4.0906724472817993E-3</c:v>
                </c:pt>
                <c:pt idx="16">
                  <c:v>7.4535599249992996E-3</c:v>
                </c:pt>
                <c:pt idx="17">
                  <c:v>7.4535599249992996E-3</c:v>
                </c:pt>
                <c:pt idx="18">
                  <c:v>7.4535599249992979E-3</c:v>
                </c:pt>
                <c:pt idx="19">
                  <c:v>7.4535599249992996E-3</c:v>
                </c:pt>
                <c:pt idx="20">
                  <c:v>7.4535599249992979E-3</c:v>
                </c:pt>
                <c:pt idx="21">
                  <c:v>1.1785113019775794E-2</c:v>
                </c:pt>
                <c:pt idx="22">
                  <c:v>1.1785113019775792E-2</c:v>
                </c:pt>
                <c:pt idx="23">
                  <c:v>1.1785113019775794E-2</c:v>
                </c:pt>
                <c:pt idx="24">
                  <c:v>1.1785113019775794E-2</c:v>
                </c:pt>
                <c:pt idx="25">
                  <c:v>1.178511301977579E-2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0F-9A46-A390-F056CB88FFEE}"/>
            </c:ext>
          </c:extLst>
        </c:ser>
        <c:ser>
          <c:idx val="10"/>
          <c:order val="1"/>
          <c:tx>
            <c:v>water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data!$H$171:$H$180</c:f>
              <c:numCache>
                <c:formatCode>0.000</c:formatCode>
                <c:ptCount val="10"/>
                <c:pt idx="0">
                  <c:v>11.855116803865576</c:v>
                </c:pt>
                <c:pt idx="1">
                  <c:v>8.8913376028991813</c:v>
                </c:pt>
                <c:pt idx="2">
                  <c:v>5.9275584019327878</c:v>
                </c:pt>
                <c:pt idx="3">
                  <c:v>2.9637792009663939</c:v>
                </c:pt>
                <c:pt idx="4">
                  <c:v>1.1855116803865577</c:v>
                </c:pt>
                <c:pt idx="5">
                  <c:v>0.89162433104703298</c:v>
                </c:pt>
                <c:pt idx="6">
                  <c:v>2.2290608276175825</c:v>
                </c:pt>
                <c:pt idx="7">
                  <c:v>4.458121655235165</c:v>
                </c:pt>
                <c:pt idx="8">
                  <c:v>6.6871824828527471</c:v>
                </c:pt>
                <c:pt idx="9">
                  <c:v>8.91624331047033</c:v>
                </c:pt>
              </c:numCache>
            </c:numRef>
          </c:xVal>
          <c:yVal>
            <c:numRef>
              <c:f>data!$J$171:$J$180</c:f>
              <c:numCache>
                <c:formatCode>0.000</c:formatCode>
                <c:ptCount val="10"/>
                <c:pt idx="0">
                  <c:v>2.7855261269369817E-3</c:v>
                </c:pt>
                <c:pt idx="1">
                  <c:v>2.7855261269369813E-3</c:v>
                </c:pt>
                <c:pt idx="2">
                  <c:v>2.7855261269369817E-3</c:v>
                </c:pt>
                <c:pt idx="3">
                  <c:v>2.7855261269369817E-3</c:v>
                </c:pt>
                <c:pt idx="4">
                  <c:v>2.7855261269369809E-3</c:v>
                </c:pt>
                <c:pt idx="5">
                  <c:v>2.415712648551868E-3</c:v>
                </c:pt>
                <c:pt idx="6">
                  <c:v>2.415712648551868E-3</c:v>
                </c:pt>
                <c:pt idx="7">
                  <c:v>2.415712648551868E-3</c:v>
                </c:pt>
                <c:pt idx="8">
                  <c:v>2.415712648551868E-3</c:v>
                </c:pt>
                <c:pt idx="9">
                  <c:v>2.415712648551868E-3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0F-9A46-A390-F056CB88FFEE}"/>
            </c:ext>
          </c:extLst>
        </c:ser>
        <c:ser>
          <c:idx val="3"/>
          <c:order val="2"/>
          <c:tx>
            <c:v>90-10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data!$H$57:$H$77</c:f>
              <c:numCache>
                <c:formatCode>0.000</c:formatCode>
                <c:ptCount val="21"/>
                <c:pt idx="0">
                  <c:v>10.377986556843783</c:v>
                </c:pt>
                <c:pt idx="1">
                  <c:v>7.7834899176328376</c:v>
                </c:pt>
                <c:pt idx="2">
                  <c:v>5.1889932784218917</c:v>
                </c:pt>
                <c:pt idx="3">
                  <c:v>2.5944966392109459</c:v>
                </c:pt>
                <c:pt idx="4">
                  <c:v>1.0377986556843783</c:v>
                </c:pt>
                <c:pt idx="5">
                  <c:v>1.7129929617922872</c:v>
                </c:pt>
                <c:pt idx="6">
                  <c:v>17.129929617922873</c:v>
                </c:pt>
                <c:pt idx="7">
                  <c:v>12.847447213442155</c:v>
                </c:pt>
                <c:pt idx="8">
                  <c:v>8.5649648089614363</c:v>
                </c:pt>
                <c:pt idx="9">
                  <c:v>4.2824824044807182</c:v>
                </c:pt>
                <c:pt idx="10">
                  <c:v>14.217841582875984</c:v>
                </c:pt>
                <c:pt idx="11">
                  <c:v>14.217841582875984</c:v>
                </c:pt>
                <c:pt idx="12">
                  <c:v>28.435683165751968</c:v>
                </c:pt>
                <c:pt idx="13">
                  <c:v>42.653524748627952</c:v>
                </c:pt>
                <c:pt idx="14">
                  <c:v>5.6871366331503941</c:v>
                </c:pt>
                <c:pt idx="15">
                  <c:v>56.871366331503935</c:v>
                </c:pt>
                <c:pt idx="16">
                  <c:v>142.17841582875985</c:v>
                </c:pt>
                <c:pt idx="17">
                  <c:v>106.63381187156989</c:v>
                </c:pt>
                <c:pt idx="18">
                  <c:v>71.089207914379926</c:v>
                </c:pt>
                <c:pt idx="19">
                  <c:v>35.544603957189963</c:v>
                </c:pt>
                <c:pt idx="20">
                  <c:v>14.217841582875984</c:v>
                </c:pt>
              </c:numCache>
            </c:numRef>
          </c:xVal>
          <c:yVal>
            <c:numRef>
              <c:f>data!$J$57:$J$77</c:f>
              <c:numCache>
                <c:formatCode>0.000</c:formatCode>
                <c:ptCount val="21"/>
                <c:pt idx="0">
                  <c:v>4.7807377809577362E-3</c:v>
                </c:pt>
                <c:pt idx="1">
                  <c:v>4.7807377809577353E-3</c:v>
                </c:pt>
                <c:pt idx="2">
                  <c:v>4.7807377809577362E-3</c:v>
                </c:pt>
                <c:pt idx="3">
                  <c:v>4.7807377809577362E-3</c:v>
                </c:pt>
                <c:pt idx="4">
                  <c:v>4.7807377809577362E-3</c:v>
                </c:pt>
                <c:pt idx="5">
                  <c:v>6.1420897909894813E-3</c:v>
                </c:pt>
                <c:pt idx="6">
                  <c:v>6.1420897909894813E-3</c:v>
                </c:pt>
                <c:pt idx="7">
                  <c:v>6.1420897909894795E-3</c:v>
                </c:pt>
                <c:pt idx="8">
                  <c:v>6.1420897909894813E-3</c:v>
                </c:pt>
                <c:pt idx="9">
                  <c:v>6.1420897909894813E-3</c:v>
                </c:pt>
                <c:pt idx="10">
                  <c:v>1.1191420215589991E-2</c:v>
                </c:pt>
                <c:pt idx="11">
                  <c:v>1.1191420215589991E-2</c:v>
                </c:pt>
                <c:pt idx="12">
                  <c:v>1.1191420215589991E-2</c:v>
                </c:pt>
                <c:pt idx="13">
                  <c:v>1.1191420215589991E-2</c:v>
                </c:pt>
                <c:pt idx="14">
                  <c:v>1.1191420215589989E-2</c:v>
                </c:pt>
                <c:pt idx="15">
                  <c:v>1.1191420215589991E-2</c:v>
                </c:pt>
                <c:pt idx="16">
                  <c:v>1.7695189066658505E-2</c:v>
                </c:pt>
                <c:pt idx="17">
                  <c:v>1.7695189066658505E-2</c:v>
                </c:pt>
                <c:pt idx="18">
                  <c:v>1.7695189066658505E-2</c:v>
                </c:pt>
                <c:pt idx="19">
                  <c:v>1.7695189066658505E-2</c:v>
                </c:pt>
                <c:pt idx="20">
                  <c:v>1.7695189066658505E-2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0F-9A46-A390-F056CB88FFEE}"/>
            </c:ext>
          </c:extLst>
        </c:ser>
        <c:ser>
          <c:idx val="12"/>
          <c:order val="3"/>
          <c:tx>
            <c:v>90-10 water &amp; glycerine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data!$H$181:$H$190</c:f>
              <c:numCache>
                <c:formatCode>0.000</c:formatCode>
                <c:ptCount val="10"/>
                <c:pt idx="0">
                  <c:v>0.79429282585899375</c:v>
                </c:pt>
                <c:pt idx="1">
                  <c:v>1.9857320646474843</c:v>
                </c:pt>
                <c:pt idx="2">
                  <c:v>3.9714641292949686</c:v>
                </c:pt>
                <c:pt idx="3">
                  <c:v>5.9571961939424529</c:v>
                </c:pt>
                <c:pt idx="4">
                  <c:v>7.9429282585899372</c:v>
                </c:pt>
                <c:pt idx="5">
                  <c:v>5.9738830180151199</c:v>
                </c:pt>
                <c:pt idx="6">
                  <c:v>4.4804122635113401</c:v>
                </c:pt>
                <c:pt idx="7">
                  <c:v>2.9869415090075599</c:v>
                </c:pt>
                <c:pt idx="8">
                  <c:v>1.49347075450378</c:v>
                </c:pt>
                <c:pt idx="9">
                  <c:v>0.59738830180151203</c:v>
                </c:pt>
              </c:numCache>
            </c:numRef>
          </c:xVal>
          <c:yVal>
            <c:numRef>
              <c:f>data!$J$181:$J$190</c:f>
              <c:numCache>
                <c:formatCode>0.000</c:formatCode>
                <c:ptCount val="10"/>
                <c:pt idx="0">
                  <c:v>4.1824301034326956E-3</c:v>
                </c:pt>
                <c:pt idx="1">
                  <c:v>4.1824301034326964E-3</c:v>
                </c:pt>
                <c:pt idx="2">
                  <c:v>4.1824301034326964E-3</c:v>
                </c:pt>
                <c:pt idx="3">
                  <c:v>4.1824301034326956E-3</c:v>
                </c:pt>
                <c:pt idx="4">
                  <c:v>4.1824301034326964E-3</c:v>
                </c:pt>
                <c:pt idx="5">
                  <c:v>3.6271601277911994E-3</c:v>
                </c:pt>
                <c:pt idx="6">
                  <c:v>3.627160127791199E-3</c:v>
                </c:pt>
                <c:pt idx="7">
                  <c:v>3.6271601277911994E-3</c:v>
                </c:pt>
                <c:pt idx="8">
                  <c:v>3.6271601277911994E-3</c:v>
                </c:pt>
                <c:pt idx="9">
                  <c:v>3.6271601277911986E-3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0F-9A46-A390-F056CB88FFEE}"/>
            </c:ext>
          </c:extLst>
        </c:ser>
        <c:ser>
          <c:idx val="5"/>
          <c:order val="4"/>
          <c:tx>
            <c:v>70-30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data!$H$100:$H$120</c:f>
              <c:numCache>
                <c:formatCode>0.000</c:formatCode>
                <c:ptCount val="21"/>
                <c:pt idx="0">
                  <c:v>4.2858982328969732</c:v>
                </c:pt>
                <c:pt idx="1">
                  <c:v>2.857265488597982</c:v>
                </c:pt>
                <c:pt idx="2">
                  <c:v>1.428632744298991</c:v>
                </c:pt>
                <c:pt idx="3">
                  <c:v>0.5714530977195964</c:v>
                </c:pt>
                <c:pt idx="4">
                  <c:v>0.94324186009138222</c:v>
                </c:pt>
                <c:pt idx="5">
                  <c:v>2.3581046502284555</c:v>
                </c:pt>
                <c:pt idx="6">
                  <c:v>4.716209300456911</c:v>
                </c:pt>
                <c:pt idx="7">
                  <c:v>7.0743139506853661</c:v>
                </c:pt>
                <c:pt idx="8">
                  <c:v>9.432418600913822</c:v>
                </c:pt>
                <c:pt idx="9">
                  <c:v>31.315629755033882</c:v>
                </c:pt>
                <c:pt idx="10">
                  <c:v>23.486722316275412</c:v>
                </c:pt>
                <c:pt idx="11">
                  <c:v>15.657814877516941</c:v>
                </c:pt>
                <c:pt idx="12">
                  <c:v>7.8289074387584705</c:v>
                </c:pt>
                <c:pt idx="13">
                  <c:v>3.1315629755033885</c:v>
                </c:pt>
                <c:pt idx="14">
                  <c:v>7.8289074387584714</c:v>
                </c:pt>
                <c:pt idx="15">
                  <c:v>19.572268596896176</c:v>
                </c:pt>
                <c:pt idx="16">
                  <c:v>39.144537193792353</c:v>
                </c:pt>
                <c:pt idx="17">
                  <c:v>58.716805790688532</c:v>
                </c:pt>
                <c:pt idx="18">
                  <c:v>58.716805790688532</c:v>
                </c:pt>
                <c:pt idx="19">
                  <c:v>78.289074387584705</c:v>
                </c:pt>
                <c:pt idx="20">
                  <c:v>58.716805790688532</c:v>
                </c:pt>
              </c:numCache>
            </c:numRef>
          </c:xVal>
          <c:yVal>
            <c:numRef>
              <c:f>data!$J$99:$J$120</c:f>
              <c:numCache>
                <c:formatCode>0.000</c:formatCode>
                <c:ptCount val="22"/>
                <c:pt idx="0">
                  <c:v>8.9473523380634249E-3</c:v>
                </c:pt>
                <c:pt idx="1">
                  <c:v>8.9473523380634232E-3</c:v>
                </c:pt>
                <c:pt idx="2">
                  <c:v>8.9473523380634249E-3</c:v>
                </c:pt>
                <c:pt idx="3">
                  <c:v>8.9473523380634249E-3</c:v>
                </c:pt>
                <c:pt idx="4">
                  <c:v>8.9473523380634232E-3</c:v>
                </c:pt>
                <c:pt idx="5">
                  <c:v>1.1495180026584905E-2</c:v>
                </c:pt>
                <c:pt idx="6">
                  <c:v>1.1495180026584907E-2</c:v>
                </c:pt>
                <c:pt idx="7">
                  <c:v>1.1495180026584907E-2</c:v>
                </c:pt>
                <c:pt idx="8">
                  <c:v>1.1495180026584907E-2</c:v>
                </c:pt>
                <c:pt idx="9">
                  <c:v>1.1495180026584907E-2</c:v>
                </c:pt>
                <c:pt idx="10">
                  <c:v>2.0945214822501602E-2</c:v>
                </c:pt>
                <c:pt idx="11">
                  <c:v>2.0945214822501598E-2</c:v>
                </c:pt>
                <c:pt idx="12">
                  <c:v>2.0945214822501602E-2</c:v>
                </c:pt>
                <c:pt idx="13">
                  <c:v>2.0945214822501602E-2</c:v>
                </c:pt>
                <c:pt idx="14">
                  <c:v>2.0945214822501602E-2</c:v>
                </c:pt>
                <c:pt idx="15">
                  <c:v>3.3117292460312205E-2</c:v>
                </c:pt>
                <c:pt idx="16">
                  <c:v>3.3117292460312212E-2</c:v>
                </c:pt>
                <c:pt idx="17">
                  <c:v>3.3117292460312212E-2</c:v>
                </c:pt>
                <c:pt idx="18">
                  <c:v>3.3117292460312205E-2</c:v>
                </c:pt>
                <c:pt idx="19">
                  <c:v>3.3117292460312205E-2</c:v>
                </c:pt>
                <c:pt idx="20">
                  <c:v>3.3117292460312212E-2</c:v>
                </c:pt>
                <c:pt idx="21">
                  <c:v>3.3117292460312205E-2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0F-9A46-A390-F056CB88FFEE}"/>
            </c:ext>
          </c:extLst>
        </c:ser>
        <c:ser>
          <c:idx val="13"/>
          <c:order val="5"/>
          <c:tx>
            <c:v>70-30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data!$H$191:$H$200</c:f>
              <c:numCache>
                <c:formatCode>0.000</c:formatCode>
                <c:ptCount val="10"/>
                <c:pt idx="0">
                  <c:v>4.3736913065689773</c:v>
                </c:pt>
                <c:pt idx="1">
                  <c:v>3.2802684799267334</c:v>
                </c:pt>
                <c:pt idx="2">
                  <c:v>2.1868456532844887</c:v>
                </c:pt>
                <c:pt idx="3">
                  <c:v>1.0934228266422443</c:v>
                </c:pt>
                <c:pt idx="4">
                  <c:v>0.43736913065689775</c:v>
                </c:pt>
                <c:pt idx="5">
                  <c:v>3.2894569070413744</c:v>
                </c:pt>
                <c:pt idx="6">
                  <c:v>2.4670926802810307</c:v>
                </c:pt>
                <c:pt idx="7">
                  <c:v>1.6447284535206872</c:v>
                </c:pt>
                <c:pt idx="8">
                  <c:v>0.8223642267603436</c:v>
                </c:pt>
                <c:pt idx="9">
                  <c:v>0.32894569070413748</c:v>
                </c:pt>
              </c:numCache>
            </c:numRef>
          </c:xVal>
          <c:yVal>
            <c:numRef>
              <c:f>data!$J$191:$J$200</c:f>
              <c:numCache>
                <c:formatCode>0.000</c:formatCode>
                <c:ptCount val="10"/>
                <c:pt idx="0">
                  <c:v>7.8275942917828533E-3</c:v>
                </c:pt>
                <c:pt idx="1">
                  <c:v>7.8275942917828516E-3</c:v>
                </c:pt>
                <c:pt idx="2">
                  <c:v>7.8275942917828533E-3</c:v>
                </c:pt>
                <c:pt idx="3">
                  <c:v>7.8275942917828533E-3</c:v>
                </c:pt>
                <c:pt idx="4">
                  <c:v>7.8275942917828516E-3</c:v>
                </c:pt>
                <c:pt idx="5">
                  <c:v>6.7883831192727629E-3</c:v>
                </c:pt>
                <c:pt idx="6">
                  <c:v>6.7883831192727621E-3</c:v>
                </c:pt>
                <c:pt idx="7">
                  <c:v>6.7883831192727629E-3</c:v>
                </c:pt>
                <c:pt idx="8">
                  <c:v>6.7883831192727629E-3</c:v>
                </c:pt>
                <c:pt idx="9">
                  <c:v>6.7883831192727621E-3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0F-9A46-A390-F056CB88FFEE}"/>
            </c:ext>
          </c:extLst>
        </c:ser>
        <c:ser>
          <c:idx val="4"/>
          <c:order val="6"/>
          <c:tx>
            <c:v>50-50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data!$H$78:$H$98</c:f>
              <c:numCache>
                <c:formatCode>0.000</c:formatCode>
                <c:ptCount val="21"/>
                <c:pt idx="0">
                  <c:v>0.24646579136314689</c:v>
                </c:pt>
                <c:pt idx="1">
                  <c:v>0.61616447840786726</c:v>
                </c:pt>
                <c:pt idx="2">
                  <c:v>1.2323289568157345</c:v>
                </c:pt>
                <c:pt idx="3">
                  <c:v>1.8484934352236018</c:v>
                </c:pt>
                <c:pt idx="4">
                  <c:v>2.464657913631469</c:v>
                </c:pt>
                <c:pt idx="5">
                  <c:v>0.40681702911748352</c:v>
                </c:pt>
                <c:pt idx="6">
                  <c:v>1.0170425727937089</c:v>
                </c:pt>
                <c:pt idx="7">
                  <c:v>2.0340851455874178</c:v>
                </c:pt>
                <c:pt idx="8">
                  <c:v>3.0511277183811263</c:v>
                </c:pt>
                <c:pt idx="9">
                  <c:v>4.0681702911748356</c:v>
                </c:pt>
                <c:pt idx="10">
                  <c:v>13.506325366700452</c:v>
                </c:pt>
                <c:pt idx="11">
                  <c:v>10.129744025025339</c:v>
                </c:pt>
                <c:pt idx="12">
                  <c:v>6.7531626833502258</c:v>
                </c:pt>
                <c:pt idx="13">
                  <c:v>3.3765813416751129</c:v>
                </c:pt>
                <c:pt idx="14">
                  <c:v>1.3506325366700451</c:v>
                </c:pt>
                <c:pt idx="15">
                  <c:v>33.765813416751129</c:v>
                </c:pt>
                <c:pt idx="16">
                  <c:v>25.324360062563343</c:v>
                </c:pt>
                <c:pt idx="17">
                  <c:v>16.882906708375565</c:v>
                </c:pt>
                <c:pt idx="18">
                  <c:v>8.4414533541877823</c:v>
                </c:pt>
                <c:pt idx="19">
                  <c:v>3.3765813416751125</c:v>
                </c:pt>
                <c:pt idx="20">
                  <c:v>3.3765813416751125</c:v>
                </c:pt>
              </c:numCache>
            </c:numRef>
          </c:xVal>
          <c:yVal>
            <c:numRef>
              <c:f>data!$J$78:$J$98</c:f>
              <c:numCache>
                <c:formatCode>0.000</c:formatCode>
                <c:ptCount val="21"/>
                <c:pt idx="0">
                  <c:v>2.1513201771659114E-2</c:v>
                </c:pt>
                <c:pt idx="1">
                  <c:v>2.1513201771659111E-2</c:v>
                </c:pt>
                <c:pt idx="2">
                  <c:v>2.1513201771659111E-2</c:v>
                </c:pt>
                <c:pt idx="3">
                  <c:v>2.1513201771659111E-2</c:v>
                </c:pt>
                <c:pt idx="4">
                  <c:v>2.1513201771659111E-2</c:v>
                </c:pt>
                <c:pt idx="5">
                  <c:v>2.7639252146293852E-2</c:v>
                </c:pt>
                <c:pt idx="6">
                  <c:v>2.7639252146293852E-2</c:v>
                </c:pt>
                <c:pt idx="7">
                  <c:v>2.7639252146293852E-2</c:v>
                </c:pt>
                <c:pt idx="8">
                  <c:v>2.7639252146293852E-2</c:v>
                </c:pt>
                <c:pt idx="9">
                  <c:v>2.7639252146293852E-2</c:v>
                </c:pt>
                <c:pt idx="10">
                  <c:v>5.0361114171206339E-2</c:v>
                </c:pt>
                <c:pt idx="11">
                  <c:v>5.0361114171206332E-2</c:v>
                </c:pt>
                <c:pt idx="12">
                  <c:v>5.0361114171206339E-2</c:v>
                </c:pt>
                <c:pt idx="13">
                  <c:v>5.0361114171206339E-2</c:v>
                </c:pt>
                <c:pt idx="14">
                  <c:v>5.0361114171206339E-2</c:v>
                </c:pt>
                <c:pt idx="15">
                  <c:v>7.9627913142397491E-2</c:v>
                </c:pt>
                <c:pt idx="16">
                  <c:v>7.9627913142397505E-2</c:v>
                </c:pt>
                <c:pt idx="17">
                  <c:v>7.9627913142397491E-2</c:v>
                </c:pt>
                <c:pt idx="18">
                  <c:v>7.9627913142397491E-2</c:v>
                </c:pt>
                <c:pt idx="19">
                  <c:v>7.9627913142397505E-2</c:v>
                </c:pt>
                <c:pt idx="20">
                  <c:v>7.9627913142397505E-2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90F-9A46-A390-F056CB88FFEE}"/>
            </c:ext>
          </c:extLst>
        </c:ser>
        <c:ser>
          <c:idx val="1"/>
          <c:order val="7"/>
          <c:tx>
            <c:v>50-50 water &amp; Glycerine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data!$H$21:$H$30</c:f>
              <c:numCache>
                <c:formatCode>0.000</c:formatCode>
                <c:ptCount val="10"/>
                <c:pt idx="0">
                  <c:v>1.2323289568157345</c:v>
                </c:pt>
                <c:pt idx="1">
                  <c:v>0.61616447840786726</c:v>
                </c:pt>
                <c:pt idx="2">
                  <c:v>0.24646579136314689</c:v>
                </c:pt>
                <c:pt idx="3">
                  <c:v>0.12323289568157345</c:v>
                </c:pt>
                <c:pt idx="4">
                  <c:v>2.0340851455874178</c:v>
                </c:pt>
                <c:pt idx="5">
                  <c:v>1.0170425727937089</c:v>
                </c:pt>
                <c:pt idx="6">
                  <c:v>0.40681702911748352</c:v>
                </c:pt>
                <c:pt idx="7">
                  <c:v>0.20340851455874176</c:v>
                </c:pt>
                <c:pt idx="8">
                  <c:v>6.7531626833502258</c:v>
                </c:pt>
                <c:pt idx="9">
                  <c:v>3.3765813416751129</c:v>
                </c:pt>
              </c:numCache>
            </c:numRef>
          </c:xVal>
          <c:yVal>
            <c:numRef>
              <c:f>data!$J$21:$J$30</c:f>
              <c:numCache>
                <c:formatCode>0.000</c:formatCode>
                <c:ptCount val="10"/>
                <c:pt idx="0">
                  <c:v>2.1513201771659111E-2</c:v>
                </c:pt>
                <c:pt idx="1">
                  <c:v>2.1513201771659111E-2</c:v>
                </c:pt>
                <c:pt idx="2">
                  <c:v>2.1513201771659114E-2</c:v>
                </c:pt>
                <c:pt idx="3">
                  <c:v>2.1513201771659114E-2</c:v>
                </c:pt>
                <c:pt idx="4">
                  <c:v>2.7639252146293852E-2</c:v>
                </c:pt>
                <c:pt idx="5">
                  <c:v>2.7639252146293852E-2</c:v>
                </c:pt>
                <c:pt idx="6">
                  <c:v>2.7639252146293852E-2</c:v>
                </c:pt>
                <c:pt idx="7">
                  <c:v>2.7639252146293852E-2</c:v>
                </c:pt>
                <c:pt idx="8">
                  <c:v>5.0361114171206339E-2</c:v>
                </c:pt>
                <c:pt idx="9">
                  <c:v>5.0361114171206339E-2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90F-9A46-A390-F056CB88FFEE}"/>
            </c:ext>
          </c:extLst>
        </c:ser>
        <c:ser>
          <c:idx val="14"/>
          <c:order val="8"/>
          <c:tx>
            <c:v>50-50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data!$H$201:$H$210</c:f>
              <c:numCache>
                <c:formatCode>0.000</c:formatCode>
                <c:ptCount val="10"/>
                <c:pt idx="0">
                  <c:v>0.18863582914386104</c:v>
                </c:pt>
                <c:pt idx="1">
                  <c:v>0.47158957285965264</c:v>
                </c:pt>
                <c:pt idx="2">
                  <c:v>0.94317914571930528</c:v>
                </c:pt>
                <c:pt idx="3">
                  <c:v>1.4147687185789577</c:v>
                </c:pt>
                <c:pt idx="4">
                  <c:v>1.8863582914386106</c:v>
                </c:pt>
                <c:pt idx="5">
                  <c:v>1.4187316561660142</c:v>
                </c:pt>
                <c:pt idx="6">
                  <c:v>1.0640487421245104</c:v>
                </c:pt>
                <c:pt idx="7">
                  <c:v>0.70936582808300708</c:v>
                </c:pt>
                <c:pt idx="8">
                  <c:v>0.35468291404150354</c:v>
                </c:pt>
                <c:pt idx="9">
                  <c:v>0.1418731656166014</c:v>
                </c:pt>
              </c:numCache>
            </c:numRef>
          </c:xVal>
          <c:yVal>
            <c:numRef>
              <c:f>data!$J$201:$J$210</c:f>
              <c:numCache>
                <c:formatCode>0.000</c:formatCode>
                <c:ptCount val="10"/>
                <c:pt idx="0">
                  <c:v>1.8820832020823221E-2</c:v>
                </c:pt>
                <c:pt idx="1">
                  <c:v>1.8820832020823221E-2</c:v>
                </c:pt>
                <c:pt idx="2">
                  <c:v>1.8820832020823221E-2</c:v>
                </c:pt>
                <c:pt idx="3">
                  <c:v>1.8820832020823217E-2</c:v>
                </c:pt>
                <c:pt idx="4">
                  <c:v>1.8820832020823221E-2</c:v>
                </c:pt>
                <c:pt idx="5">
                  <c:v>1.6322130864005809E-2</c:v>
                </c:pt>
                <c:pt idx="6">
                  <c:v>1.6322130864005812E-2</c:v>
                </c:pt>
                <c:pt idx="7">
                  <c:v>1.6322130864005809E-2</c:v>
                </c:pt>
                <c:pt idx="8">
                  <c:v>1.6322130864005809E-2</c:v>
                </c:pt>
                <c:pt idx="9">
                  <c:v>1.6322130864005809E-2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90F-9A46-A390-F056CB88FFEE}"/>
            </c:ext>
          </c:extLst>
        </c:ser>
        <c:ser>
          <c:idx val="6"/>
          <c:order val="9"/>
          <c:tx>
            <c:v>30-70 water &amp; Glycerine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data!$H$121:$H$140</c:f>
              <c:numCache>
                <c:formatCode>0.000</c:formatCode>
                <c:ptCount val="20"/>
                <c:pt idx="0">
                  <c:v>0.54425225512459341</c:v>
                </c:pt>
                <c:pt idx="1">
                  <c:v>0.40818919134344506</c:v>
                </c:pt>
                <c:pt idx="2">
                  <c:v>0.2721261275622967</c:v>
                </c:pt>
                <c:pt idx="3">
                  <c:v>0.13606306378114835</c:v>
                </c:pt>
                <c:pt idx="4">
                  <c:v>5.442522551245934E-2</c:v>
                </c:pt>
                <c:pt idx="5">
                  <c:v>8.9834408375987121E-2</c:v>
                </c:pt>
                <c:pt idx="6">
                  <c:v>0.2245860209399678</c:v>
                </c:pt>
                <c:pt idx="7">
                  <c:v>0.44917204187993559</c:v>
                </c:pt>
                <c:pt idx="8">
                  <c:v>0.67375806281990347</c:v>
                </c:pt>
                <c:pt idx="9">
                  <c:v>0.89834408375987118</c:v>
                </c:pt>
                <c:pt idx="10">
                  <c:v>2.9825023580827725</c:v>
                </c:pt>
                <c:pt idx="11">
                  <c:v>2.2368767685620794</c:v>
                </c:pt>
                <c:pt idx="12">
                  <c:v>1.4912511790413863</c:v>
                </c:pt>
                <c:pt idx="13">
                  <c:v>0.74562558952069313</c:v>
                </c:pt>
                <c:pt idx="14">
                  <c:v>0.29825023580827725</c:v>
                </c:pt>
                <c:pt idx="15">
                  <c:v>7.4562558952069304</c:v>
                </c:pt>
                <c:pt idx="16">
                  <c:v>5.5921919214051981</c:v>
                </c:pt>
                <c:pt idx="17">
                  <c:v>3.7281279476034652</c:v>
                </c:pt>
                <c:pt idx="18">
                  <c:v>1.8640639738017326</c:v>
                </c:pt>
                <c:pt idx="19">
                  <c:v>0.74562558952069302</c:v>
                </c:pt>
              </c:numCache>
            </c:numRef>
          </c:xVal>
          <c:yVal>
            <c:numRef>
              <c:f>data!$J$121:$J$141</c:f>
              <c:numCache>
                <c:formatCode>0.000</c:formatCode>
                <c:ptCount val="21"/>
                <c:pt idx="0">
                  <c:v>0.10191632393703294</c:v>
                </c:pt>
                <c:pt idx="1">
                  <c:v>0.10191632393703293</c:v>
                </c:pt>
                <c:pt idx="2">
                  <c:v>0.10191632393703294</c:v>
                </c:pt>
                <c:pt idx="3">
                  <c:v>0.10191632393703294</c:v>
                </c:pt>
                <c:pt idx="4">
                  <c:v>0.10191632393703294</c:v>
                </c:pt>
                <c:pt idx="5">
                  <c:v>0.13093778439013715</c:v>
                </c:pt>
                <c:pt idx="6">
                  <c:v>0.13093778439013717</c:v>
                </c:pt>
                <c:pt idx="7">
                  <c:v>0.13093778439013717</c:v>
                </c:pt>
                <c:pt idx="8">
                  <c:v>0.13093778439013715</c:v>
                </c:pt>
                <c:pt idx="9">
                  <c:v>0.13093778439013717</c:v>
                </c:pt>
                <c:pt idx="10">
                  <c:v>0.23857999753733236</c:v>
                </c:pt>
                <c:pt idx="11">
                  <c:v>0.23857999753733233</c:v>
                </c:pt>
                <c:pt idx="12">
                  <c:v>0.23857999753733236</c:v>
                </c:pt>
                <c:pt idx="13">
                  <c:v>0.23857999753733236</c:v>
                </c:pt>
                <c:pt idx="14">
                  <c:v>0.23857999753733236</c:v>
                </c:pt>
                <c:pt idx="15">
                  <c:v>0.37722809818766662</c:v>
                </c:pt>
                <c:pt idx="16">
                  <c:v>0.37722809818766645</c:v>
                </c:pt>
                <c:pt idx="17">
                  <c:v>0.37722809818766662</c:v>
                </c:pt>
                <c:pt idx="18">
                  <c:v>0.37722809818766662</c:v>
                </c:pt>
                <c:pt idx="19">
                  <c:v>0.37722809818766651</c:v>
                </c:pt>
                <c:pt idx="20">
                  <c:v>0.69331599267936017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90F-9A46-A390-F056CB88FFEE}"/>
            </c:ext>
          </c:extLst>
        </c:ser>
        <c:ser>
          <c:idx val="15"/>
          <c:order val="10"/>
          <c:tx>
            <c:v>30-70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data!$H$211:$H$220</c:f>
              <c:numCache>
                <c:formatCode>0.000</c:formatCode>
                <c:ptCount val="10"/>
                <c:pt idx="0">
                  <c:v>4.1655060867077827E-2</c:v>
                </c:pt>
                <c:pt idx="1">
                  <c:v>0.10413765216769456</c:v>
                </c:pt>
                <c:pt idx="2">
                  <c:v>0.20827530433538913</c:v>
                </c:pt>
                <c:pt idx="3">
                  <c:v>0.31241295650308371</c:v>
                </c:pt>
                <c:pt idx="4">
                  <c:v>0.41655060867077826</c:v>
                </c:pt>
                <c:pt idx="5">
                  <c:v>0.31328806282382066</c:v>
                </c:pt>
                <c:pt idx="6">
                  <c:v>0.23496604711786551</c:v>
                </c:pt>
                <c:pt idx="7">
                  <c:v>0.15664403141191033</c:v>
                </c:pt>
                <c:pt idx="8">
                  <c:v>7.8322015705955164E-2</c:v>
                </c:pt>
                <c:pt idx="9">
                  <c:v>3.132880628238207E-2</c:v>
                </c:pt>
              </c:numCache>
            </c:numRef>
          </c:xVal>
          <c:yVal>
            <c:numRef>
              <c:f>data!$J$211:$J$220</c:f>
              <c:numCache>
                <c:formatCode>0.000</c:formatCode>
                <c:ptCount val="10"/>
                <c:pt idx="0">
                  <c:v>8.9161531294036298E-2</c:v>
                </c:pt>
                <c:pt idx="1">
                  <c:v>8.9161531294036325E-2</c:v>
                </c:pt>
                <c:pt idx="2">
                  <c:v>8.9161531294036325E-2</c:v>
                </c:pt>
                <c:pt idx="3">
                  <c:v>8.9161531294036298E-2</c:v>
                </c:pt>
                <c:pt idx="4">
                  <c:v>8.9161531294036325E-2</c:v>
                </c:pt>
                <c:pt idx="5">
                  <c:v>7.7324221384382524E-2</c:v>
                </c:pt>
                <c:pt idx="6">
                  <c:v>7.7324221384382497E-2</c:v>
                </c:pt>
                <c:pt idx="7">
                  <c:v>7.7324221384382524E-2</c:v>
                </c:pt>
                <c:pt idx="8">
                  <c:v>7.7324221384382524E-2</c:v>
                </c:pt>
                <c:pt idx="9">
                  <c:v>7.732422138438251E-2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90F-9A46-A390-F056CB88FFEE}"/>
            </c:ext>
          </c:extLst>
        </c:ser>
        <c:ser>
          <c:idx val="7"/>
          <c:order val="11"/>
          <c:tx>
            <c:v>10-90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2">
                  <a:lumMod val="9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data!$H$141:$H$155</c:f>
              <c:numCache>
                <c:formatCode>0.000</c:formatCode>
                <c:ptCount val="15"/>
                <c:pt idx="0">
                  <c:v>8.2987009339488271E-2</c:v>
                </c:pt>
                <c:pt idx="1">
                  <c:v>6.224025700461621E-2</c:v>
                </c:pt>
                <c:pt idx="2">
                  <c:v>4.1493504669744136E-2</c:v>
                </c:pt>
                <c:pt idx="3">
                  <c:v>2.0746752334872068E-2</c:v>
                </c:pt>
                <c:pt idx="4">
                  <c:v>8.2987009339488289E-3</c:v>
                </c:pt>
                <c:pt idx="5">
                  <c:v>1.3697855758445661E-2</c:v>
                </c:pt>
                <c:pt idx="6">
                  <c:v>3.4244639396114149E-2</c:v>
                </c:pt>
                <c:pt idx="7">
                  <c:v>6.8489278792228298E-2</c:v>
                </c:pt>
                <c:pt idx="8">
                  <c:v>0.10273391818834245</c:v>
                </c:pt>
                <c:pt idx="9">
                  <c:v>0.1369785575844566</c:v>
                </c:pt>
                <c:pt idx="10">
                  <c:v>0.4547688111803958</c:v>
                </c:pt>
                <c:pt idx="11">
                  <c:v>0.34107660838529685</c:v>
                </c:pt>
                <c:pt idx="12">
                  <c:v>0.2273844055901979</c:v>
                </c:pt>
                <c:pt idx="13">
                  <c:v>0.11369220279509895</c:v>
                </c:pt>
                <c:pt idx="14">
                  <c:v>4.5476881118039582E-2</c:v>
                </c:pt>
              </c:numCache>
            </c:numRef>
          </c:xVal>
          <c:yVal>
            <c:numRef>
              <c:f>data!$J$141:$J$155</c:f>
              <c:numCache>
                <c:formatCode>0.000</c:formatCode>
                <c:ptCount val="15"/>
                <c:pt idx="0">
                  <c:v>0.69331599267936017</c:v>
                </c:pt>
                <c:pt idx="1">
                  <c:v>0.69331599267935984</c:v>
                </c:pt>
                <c:pt idx="2">
                  <c:v>0.69331599267936017</c:v>
                </c:pt>
                <c:pt idx="3">
                  <c:v>0.69331599267936017</c:v>
                </c:pt>
                <c:pt idx="4">
                  <c:v>0.69331599267935984</c:v>
                </c:pt>
                <c:pt idx="5">
                  <c:v>0.89074307683793053</c:v>
                </c:pt>
                <c:pt idx="6">
                  <c:v>0.89074307683793053</c:v>
                </c:pt>
                <c:pt idx="7">
                  <c:v>0.89074307683793053</c:v>
                </c:pt>
                <c:pt idx="8">
                  <c:v>0.89074307683793053</c:v>
                </c:pt>
                <c:pt idx="9">
                  <c:v>0.89074307683793053</c:v>
                </c:pt>
                <c:pt idx="10">
                  <c:v>1.6230111275229187</c:v>
                </c:pt>
                <c:pt idx="11">
                  <c:v>1.6230111275229187</c:v>
                </c:pt>
                <c:pt idx="12">
                  <c:v>1.6230111275229187</c:v>
                </c:pt>
                <c:pt idx="13">
                  <c:v>1.6230111275229187</c:v>
                </c:pt>
                <c:pt idx="14">
                  <c:v>1.6230111275229189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90F-9A46-A390-F056CB88FFEE}"/>
            </c:ext>
          </c:extLst>
        </c:ser>
        <c:ser>
          <c:idx val="16"/>
          <c:order val="12"/>
          <c:tx>
            <c:v>10-90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2">
                  <a:lumMod val="9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data!$H$221:$H$230</c:f>
              <c:numCache>
                <c:formatCode>0.000</c:formatCode>
                <c:ptCount val="10"/>
                <c:pt idx="0">
                  <c:v>6.3515197092234049E-2</c:v>
                </c:pt>
                <c:pt idx="1">
                  <c:v>4.7636397819175537E-2</c:v>
                </c:pt>
                <c:pt idx="2">
                  <c:v>3.1757598546117025E-2</c:v>
                </c:pt>
                <c:pt idx="3">
                  <c:v>1.5878799273058512E-2</c:v>
                </c:pt>
                <c:pt idx="4">
                  <c:v>6.3515197092234047E-3</c:v>
                </c:pt>
                <c:pt idx="5">
                  <c:v>4.7769833107184433E-2</c:v>
                </c:pt>
                <c:pt idx="6">
                  <c:v>3.582737483038833E-2</c:v>
                </c:pt>
                <c:pt idx="7">
                  <c:v>2.3884916553592216E-2</c:v>
                </c:pt>
                <c:pt idx="8">
                  <c:v>1.1942458276796108E-2</c:v>
                </c:pt>
                <c:pt idx="9">
                  <c:v>4.7769833107184443E-3</c:v>
                </c:pt>
              </c:numCache>
            </c:numRef>
          </c:xVal>
          <c:yVal>
            <c:numRef>
              <c:f>data!$J$221:$J$230</c:f>
              <c:numCache>
                <c:formatCode>0.000</c:formatCode>
                <c:ptCount val="10"/>
                <c:pt idx="0">
                  <c:v>0.60654773631875836</c:v>
                </c:pt>
                <c:pt idx="1">
                  <c:v>0.60654773631875825</c:v>
                </c:pt>
                <c:pt idx="2">
                  <c:v>0.60654773631875836</c:v>
                </c:pt>
                <c:pt idx="3">
                  <c:v>0.60654773631875836</c:v>
                </c:pt>
                <c:pt idx="4">
                  <c:v>0.60654773631875836</c:v>
                </c:pt>
                <c:pt idx="5">
                  <c:v>0.52602092811347645</c:v>
                </c:pt>
                <c:pt idx="6">
                  <c:v>0.52602092811347634</c:v>
                </c:pt>
                <c:pt idx="7">
                  <c:v>0.52602092811347645</c:v>
                </c:pt>
                <c:pt idx="8">
                  <c:v>0.52602092811347645</c:v>
                </c:pt>
                <c:pt idx="9">
                  <c:v>0.52602092811347623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90F-9A46-A390-F056CB88FFEE}"/>
            </c:ext>
          </c:extLst>
        </c:ser>
        <c:ser>
          <c:idx val="8"/>
          <c:order val="13"/>
          <c:tx>
            <c:v>5-95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data!$H$156:$H$170</c:f>
              <c:numCache>
                <c:formatCode>0.000</c:formatCode>
                <c:ptCount val="15"/>
                <c:pt idx="0">
                  <c:v>3.7704580594704641E-2</c:v>
                </c:pt>
                <c:pt idx="1">
                  <c:v>2.8278435446028483E-2</c:v>
                </c:pt>
                <c:pt idx="2">
                  <c:v>1.8852290297352321E-2</c:v>
                </c:pt>
                <c:pt idx="3">
                  <c:v>9.4261451486761603E-3</c:v>
                </c:pt>
                <c:pt idx="4">
                  <c:v>3.770458059470465E-3</c:v>
                </c:pt>
                <c:pt idx="5">
                  <c:v>6.2235271584030576E-3</c:v>
                </c:pt>
                <c:pt idx="6">
                  <c:v>1.5558817896007642E-2</c:v>
                </c:pt>
                <c:pt idx="7">
                  <c:v>3.1117635792015284E-2</c:v>
                </c:pt>
                <c:pt idx="8">
                  <c:v>4.667645368802293E-2</c:v>
                </c:pt>
                <c:pt idx="9">
                  <c:v>6.2235271584030569E-2</c:v>
                </c:pt>
                <c:pt idx="10">
                  <c:v>0.15496582624423616</c:v>
                </c:pt>
                <c:pt idx="11">
                  <c:v>0.20662110165898151</c:v>
                </c:pt>
                <c:pt idx="12">
                  <c:v>0.10331055082949075</c:v>
                </c:pt>
                <c:pt idx="13">
                  <c:v>5.1655275414745377E-2</c:v>
                </c:pt>
                <c:pt idx="14">
                  <c:v>2.0662110165898154E-2</c:v>
                </c:pt>
              </c:numCache>
            </c:numRef>
          </c:xVal>
          <c:yVal>
            <c:numRef>
              <c:f>data!$J$156:$J$170</c:f>
              <c:numCache>
                <c:formatCode>0.000</c:formatCode>
                <c:ptCount val="15"/>
                <c:pt idx="0">
                  <c:v>1.5471577742432081</c:v>
                </c:pt>
                <c:pt idx="1">
                  <c:v>1.5471577742432077</c:v>
                </c:pt>
                <c:pt idx="2">
                  <c:v>1.5471577742432081</c:v>
                </c:pt>
                <c:pt idx="3">
                  <c:v>1.5471577742432081</c:v>
                </c:pt>
                <c:pt idx="4">
                  <c:v>1.5471577742432074</c:v>
                </c:pt>
                <c:pt idx="5">
                  <c:v>1.9877229008626986</c:v>
                </c:pt>
                <c:pt idx="6">
                  <c:v>1.9877229008626991</c:v>
                </c:pt>
                <c:pt idx="7">
                  <c:v>1.9877229008626991</c:v>
                </c:pt>
                <c:pt idx="8">
                  <c:v>1.9877229008626986</c:v>
                </c:pt>
                <c:pt idx="9">
                  <c:v>1.9877229008626991</c:v>
                </c:pt>
                <c:pt idx="10">
                  <c:v>3.6218034924107276</c:v>
                </c:pt>
                <c:pt idx="11">
                  <c:v>3.6218034924107294</c:v>
                </c:pt>
                <c:pt idx="12">
                  <c:v>3.6218034924107294</c:v>
                </c:pt>
                <c:pt idx="13">
                  <c:v>3.6218034924107294</c:v>
                </c:pt>
                <c:pt idx="14">
                  <c:v>3.6218034924107285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90F-9A46-A390-F056CB88FFEE}"/>
            </c:ext>
          </c:extLst>
        </c:ser>
        <c:ser>
          <c:idx val="17"/>
          <c:order val="14"/>
          <c:tx>
            <c:v>5-95 water &amp; 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data!$H$231:$H$240</c:f>
              <c:numCache>
                <c:formatCode>0.000</c:formatCode>
                <c:ptCount val="10"/>
                <c:pt idx="0">
                  <c:v>2.8857695762427579E-2</c:v>
                </c:pt>
                <c:pt idx="1">
                  <c:v>2.1643271821820687E-2</c:v>
                </c:pt>
                <c:pt idx="2">
                  <c:v>1.4428847881213789E-2</c:v>
                </c:pt>
                <c:pt idx="3">
                  <c:v>7.2144239406068946E-3</c:v>
                </c:pt>
                <c:pt idx="4">
                  <c:v>2.8857695762427582E-3</c:v>
                </c:pt>
                <c:pt idx="5">
                  <c:v>1.6277922924814722E-2</c:v>
                </c:pt>
                <c:pt idx="6">
                  <c:v>2.1703897233086297E-2</c:v>
                </c:pt>
                <c:pt idx="7">
                  <c:v>1.0851948616543148E-2</c:v>
                </c:pt>
                <c:pt idx="8">
                  <c:v>5.4259743082715741E-3</c:v>
                </c:pt>
                <c:pt idx="9">
                  <c:v>2.1703897233086296E-3</c:v>
                </c:pt>
              </c:numCache>
            </c:numRef>
          </c:xVal>
          <c:yVal>
            <c:numRef>
              <c:f>data!$J$231:$J$240</c:f>
              <c:numCache>
                <c:formatCode>0.000</c:formatCode>
                <c:ptCount val="10"/>
                <c:pt idx="0">
                  <c:v>1.3535315146396494</c:v>
                </c:pt>
                <c:pt idx="1">
                  <c:v>1.3535315146396492</c:v>
                </c:pt>
                <c:pt idx="2">
                  <c:v>1.3535315146396494</c:v>
                </c:pt>
                <c:pt idx="3">
                  <c:v>1.3535315146396494</c:v>
                </c:pt>
                <c:pt idx="4">
                  <c:v>1.3535315146396492</c:v>
                </c:pt>
                <c:pt idx="5">
                  <c:v>1.173833254877434</c:v>
                </c:pt>
                <c:pt idx="6">
                  <c:v>1.173833254877434</c:v>
                </c:pt>
                <c:pt idx="7">
                  <c:v>1.173833254877434</c:v>
                </c:pt>
                <c:pt idx="8">
                  <c:v>1.173833254877434</c:v>
                </c:pt>
                <c:pt idx="9">
                  <c:v>1.1738332548774337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90F-9A46-A390-F056CB88FFEE}"/>
            </c:ext>
          </c:extLst>
        </c:ser>
        <c:ser>
          <c:idx val="0"/>
          <c:order val="15"/>
          <c:tx>
            <c:v>Glycerine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data!$H$3:$H$20</c:f>
              <c:numCache>
                <c:formatCode>0.000</c:formatCode>
                <c:ptCount val="18"/>
                <c:pt idx="0">
                  <c:v>7.1596059828308682E-3</c:v>
                </c:pt>
                <c:pt idx="1">
                  <c:v>3.5798029914154341E-3</c:v>
                </c:pt>
                <c:pt idx="2">
                  <c:v>1.4319211965661736E-3</c:v>
                </c:pt>
                <c:pt idx="3">
                  <c:v>7.1596059828308678E-4</c:v>
                </c:pt>
                <c:pt idx="4">
                  <c:v>3.5798029914154339E-4</c:v>
                </c:pt>
                <c:pt idx="5">
                  <c:v>7.1596059828308682E-3</c:v>
                </c:pt>
                <c:pt idx="6">
                  <c:v>3.5798029914154341E-3</c:v>
                </c:pt>
                <c:pt idx="7">
                  <c:v>1.4319211965661736E-3</c:v>
                </c:pt>
                <c:pt idx="8">
                  <c:v>7.1596059828308678E-4</c:v>
                </c:pt>
                <c:pt idx="9">
                  <c:v>1.1817662887323242E-2</c:v>
                </c:pt>
                <c:pt idx="10">
                  <c:v>5.9088314436616211E-3</c:v>
                </c:pt>
                <c:pt idx="11">
                  <c:v>2.3635325774646484E-3</c:v>
                </c:pt>
                <c:pt idx="12">
                  <c:v>1.1817662887323242E-3</c:v>
                </c:pt>
                <c:pt idx="13">
                  <c:v>1.1817662887323242E-2</c:v>
                </c:pt>
                <c:pt idx="14">
                  <c:v>5.9088314436616211E-3</c:v>
                </c:pt>
                <c:pt idx="15">
                  <c:v>2.3635325774646484E-3</c:v>
                </c:pt>
                <c:pt idx="16">
                  <c:v>3.9234640785913162E-2</c:v>
                </c:pt>
                <c:pt idx="17">
                  <c:v>7.8469281571826324E-2</c:v>
                </c:pt>
              </c:numCache>
            </c:numRef>
          </c:xVal>
          <c:yVal>
            <c:numRef>
              <c:f>data!$J$3:$J$20</c:f>
              <c:numCache>
                <c:formatCode>0.000</c:formatCode>
                <c:ptCount val="18"/>
                <c:pt idx="0">
                  <c:v>4.1198971123156687</c:v>
                </c:pt>
                <c:pt idx="1">
                  <c:v>4.1198971123156687</c:v>
                </c:pt>
                <c:pt idx="2">
                  <c:v>4.1198971123156687</c:v>
                </c:pt>
                <c:pt idx="3">
                  <c:v>4.1198971123156687</c:v>
                </c:pt>
                <c:pt idx="4">
                  <c:v>4.1198971123156687</c:v>
                </c:pt>
                <c:pt idx="5">
                  <c:v>4.1198971123156687</c:v>
                </c:pt>
                <c:pt idx="6">
                  <c:v>4.1198971123156687</c:v>
                </c:pt>
                <c:pt idx="7">
                  <c:v>4.1198971123156687</c:v>
                </c:pt>
                <c:pt idx="8">
                  <c:v>4.1198971123156687</c:v>
                </c:pt>
                <c:pt idx="9">
                  <c:v>5.2930696375511621</c:v>
                </c:pt>
                <c:pt idx="10">
                  <c:v>5.2930696375511621</c:v>
                </c:pt>
                <c:pt idx="11">
                  <c:v>5.2930696375511612</c:v>
                </c:pt>
                <c:pt idx="12">
                  <c:v>5.2930696375511612</c:v>
                </c:pt>
                <c:pt idx="13">
                  <c:v>5.2930696375511621</c:v>
                </c:pt>
                <c:pt idx="14">
                  <c:v>5.2930696375511621</c:v>
                </c:pt>
                <c:pt idx="15">
                  <c:v>5.2930696375511612</c:v>
                </c:pt>
                <c:pt idx="16">
                  <c:v>9.6444318725390499</c:v>
                </c:pt>
                <c:pt idx="17">
                  <c:v>9.6444318725390499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90F-9A46-A390-F056CB88FFEE}"/>
            </c:ext>
          </c:extLst>
        </c:ser>
        <c:ser>
          <c:idx val="18"/>
          <c:order val="16"/>
          <c:tx>
            <c:v>Glycerin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data!$H$241:$H$252</c:f>
              <c:numCache>
                <c:formatCode>0.000</c:formatCode>
                <c:ptCount val="12"/>
                <c:pt idx="0">
                  <c:v>1.0959396867573509E-2</c:v>
                </c:pt>
                <c:pt idx="1">
                  <c:v>1.0959396867573509E-2</c:v>
                </c:pt>
                <c:pt idx="2">
                  <c:v>8.219547650680132E-3</c:v>
                </c:pt>
                <c:pt idx="3">
                  <c:v>1.0959396867573509E-2</c:v>
                </c:pt>
                <c:pt idx="4">
                  <c:v>5.4796984337867546E-3</c:v>
                </c:pt>
                <c:pt idx="5">
                  <c:v>2.7398492168933773E-3</c:v>
                </c:pt>
                <c:pt idx="6">
                  <c:v>1.0959396867573511E-3</c:v>
                </c:pt>
                <c:pt idx="7">
                  <c:v>8.242571593679237E-4</c:v>
                </c:pt>
                <c:pt idx="8">
                  <c:v>2.0606428984198091E-3</c:v>
                </c:pt>
                <c:pt idx="9">
                  <c:v>4.1212857968396183E-3</c:v>
                </c:pt>
                <c:pt idx="10">
                  <c:v>6.1819286952594279E-3</c:v>
                </c:pt>
                <c:pt idx="11">
                  <c:v>8.2425715936792366E-3</c:v>
                </c:pt>
              </c:numCache>
            </c:numRef>
          </c:xVal>
          <c:yVal>
            <c:numRef>
              <c:f>data!$J$241:$J$252</c:f>
              <c:numCache>
                <c:formatCode>0.000</c:formatCode>
                <c:ptCount val="12"/>
                <c:pt idx="0">
                  <c:v>3.6042934155954756</c:v>
                </c:pt>
                <c:pt idx="1">
                  <c:v>3.6042934155954756</c:v>
                </c:pt>
                <c:pt idx="2">
                  <c:v>3.6042934155954747</c:v>
                </c:pt>
                <c:pt idx="3">
                  <c:v>3.6042934155954756</c:v>
                </c:pt>
                <c:pt idx="4">
                  <c:v>3.6042934155954756</c:v>
                </c:pt>
                <c:pt idx="5">
                  <c:v>3.6042934155954756</c:v>
                </c:pt>
                <c:pt idx="6">
                  <c:v>3.6042934155954747</c:v>
                </c:pt>
                <c:pt idx="7">
                  <c:v>3.1257783256624925</c:v>
                </c:pt>
                <c:pt idx="8">
                  <c:v>3.1257783256624929</c:v>
                </c:pt>
                <c:pt idx="9">
                  <c:v>3.1257783256624929</c:v>
                </c:pt>
                <c:pt idx="10">
                  <c:v>3.1257783256624925</c:v>
                </c:pt>
                <c:pt idx="11">
                  <c:v>3.1257783256624929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90F-9A46-A390-F056CB88FFEE}"/>
            </c:ext>
          </c:extLst>
        </c:ser>
        <c:ser>
          <c:idx val="21"/>
          <c:order val="17"/>
          <c:tx>
            <c:v>90-10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A00029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data!$H$403:$H$432</c:f>
              <c:numCache>
                <c:formatCode>0.000</c:formatCode>
                <c:ptCount val="30"/>
                <c:pt idx="0">
                  <c:v>5.9648648299702298</c:v>
                </c:pt>
                <c:pt idx="1">
                  <c:v>4.4736486224776719</c:v>
                </c:pt>
                <c:pt idx="2">
                  <c:v>2.9824324149851149</c:v>
                </c:pt>
                <c:pt idx="3">
                  <c:v>1.4912162074925575</c:v>
                </c:pt>
                <c:pt idx="4">
                  <c:v>0.59648648299702289</c:v>
                </c:pt>
                <c:pt idx="5">
                  <c:v>7.9309375951559486</c:v>
                </c:pt>
                <c:pt idx="6">
                  <c:v>5.9482031963669604</c:v>
                </c:pt>
                <c:pt idx="7">
                  <c:v>3.9654687975779743</c:v>
                </c:pt>
                <c:pt idx="8">
                  <c:v>1.9827343987889872</c:v>
                </c:pt>
                <c:pt idx="9">
                  <c:v>0.79309375951559469</c:v>
                </c:pt>
                <c:pt idx="10">
                  <c:v>10.362319923597916</c:v>
                </c:pt>
                <c:pt idx="11">
                  <c:v>7.7717399426984368</c:v>
                </c:pt>
                <c:pt idx="12">
                  <c:v>5.1811599617989579</c:v>
                </c:pt>
                <c:pt idx="13">
                  <c:v>2.5905799808994789</c:v>
                </c:pt>
                <c:pt idx="14">
                  <c:v>1.0362319923597916</c:v>
                </c:pt>
                <c:pt idx="15">
                  <c:v>17.104070235336323</c:v>
                </c:pt>
                <c:pt idx="16">
                  <c:v>12.82805267650224</c:v>
                </c:pt>
                <c:pt idx="17">
                  <c:v>8.5520351176681615</c:v>
                </c:pt>
                <c:pt idx="18">
                  <c:v>4.2760175588340807</c:v>
                </c:pt>
                <c:pt idx="19">
                  <c:v>1.7104070235336319</c:v>
                </c:pt>
                <c:pt idx="20">
                  <c:v>56.785513181316588</c:v>
                </c:pt>
                <c:pt idx="21">
                  <c:v>42.589134885987434</c:v>
                </c:pt>
                <c:pt idx="22">
                  <c:v>28.392756590658294</c:v>
                </c:pt>
                <c:pt idx="23">
                  <c:v>14.196378295329147</c:v>
                </c:pt>
                <c:pt idx="24">
                  <c:v>5.6785513181316576</c:v>
                </c:pt>
                <c:pt idx="25">
                  <c:v>141.96378295329146</c:v>
                </c:pt>
                <c:pt idx="26">
                  <c:v>106.47283721496859</c:v>
                </c:pt>
                <c:pt idx="27">
                  <c:v>70.981891476645728</c:v>
                </c:pt>
                <c:pt idx="28">
                  <c:v>35.490945738322864</c:v>
                </c:pt>
                <c:pt idx="29">
                  <c:v>14.196378295329145</c:v>
                </c:pt>
              </c:numCache>
            </c:numRef>
          </c:xVal>
          <c:yVal>
            <c:numRef>
              <c:f>data!$J$403:$J$432</c:f>
              <c:numCache>
                <c:formatCode>0.000</c:formatCode>
                <c:ptCount val="30"/>
                <c:pt idx="0">
                  <c:v>4.2084497351203808E-3</c:v>
                </c:pt>
                <c:pt idx="1">
                  <c:v>4.2084497351203808E-3</c:v>
                </c:pt>
                <c:pt idx="2">
                  <c:v>4.2084497351203808E-3</c:v>
                </c:pt>
                <c:pt idx="3">
                  <c:v>4.2084497351203808E-3</c:v>
                </c:pt>
                <c:pt idx="4">
                  <c:v>4.2084497351203816E-3</c:v>
                </c:pt>
                <c:pt idx="5">
                  <c:v>4.8527074187015564E-3</c:v>
                </c:pt>
                <c:pt idx="6">
                  <c:v>4.8527074187015556E-3</c:v>
                </c:pt>
                <c:pt idx="7">
                  <c:v>4.8527074187015564E-3</c:v>
                </c:pt>
                <c:pt idx="8">
                  <c:v>4.8527074187015564E-3</c:v>
                </c:pt>
                <c:pt idx="9">
                  <c:v>4.8527074187015564E-3</c:v>
                </c:pt>
                <c:pt idx="10">
                  <c:v>5.546900037248584E-3</c:v>
                </c:pt>
                <c:pt idx="11">
                  <c:v>5.5469000372485831E-3</c:v>
                </c:pt>
                <c:pt idx="12">
                  <c:v>5.546900037248584E-3</c:v>
                </c:pt>
                <c:pt idx="13">
                  <c:v>5.546900037248584E-3</c:v>
                </c:pt>
                <c:pt idx="14">
                  <c:v>5.5469000372485823E-3</c:v>
                </c:pt>
                <c:pt idx="15">
                  <c:v>7.1264226676742053E-3</c:v>
                </c:pt>
                <c:pt idx="16">
                  <c:v>7.1264226676742044E-3</c:v>
                </c:pt>
                <c:pt idx="17">
                  <c:v>7.1264226676742053E-3</c:v>
                </c:pt>
                <c:pt idx="18">
                  <c:v>7.1264226676742053E-3</c:v>
                </c:pt>
                <c:pt idx="19">
                  <c:v>7.1264226676742062E-3</c:v>
                </c:pt>
                <c:pt idx="20">
                  <c:v>1.2984960074150835E-2</c:v>
                </c:pt>
                <c:pt idx="21">
                  <c:v>1.2984960074150837E-2</c:v>
                </c:pt>
                <c:pt idx="22">
                  <c:v>1.2984960074150835E-2</c:v>
                </c:pt>
                <c:pt idx="23">
                  <c:v>1.2984960074150835E-2</c:v>
                </c:pt>
                <c:pt idx="24">
                  <c:v>1.2984960074150837E-2</c:v>
                </c:pt>
                <c:pt idx="25">
                  <c:v>2.0531024580332766E-2</c:v>
                </c:pt>
                <c:pt idx="26">
                  <c:v>2.0531024580332766E-2</c:v>
                </c:pt>
                <c:pt idx="27">
                  <c:v>2.0531024580332766E-2</c:v>
                </c:pt>
                <c:pt idx="28">
                  <c:v>2.0531024580332766E-2</c:v>
                </c:pt>
                <c:pt idx="29">
                  <c:v>2.053102458033277E-2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90F-9A46-A390-F056CB88FFEE}"/>
            </c:ext>
          </c:extLst>
        </c:ser>
        <c:ser>
          <c:idx val="22"/>
          <c:order val="18"/>
          <c:tx>
            <c:v>70-30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C0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data!$H$373:$H$402</c:f>
              <c:numCache>
                <c:formatCode>0.000</c:formatCode>
                <c:ptCount val="30"/>
                <c:pt idx="0">
                  <c:v>3.3335245151080999</c:v>
                </c:pt>
                <c:pt idx="1">
                  <c:v>2.5001433863310751</c:v>
                </c:pt>
                <c:pt idx="2">
                  <c:v>1.6667622575540499</c:v>
                </c:pt>
                <c:pt idx="3">
                  <c:v>0.83338112877702497</c:v>
                </c:pt>
                <c:pt idx="4">
                  <c:v>0.33335245151081</c:v>
                </c:pt>
                <c:pt idx="5">
                  <c:v>4.432283992154904</c:v>
                </c:pt>
                <c:pt idx="6">
                  <c:v>3.324212994116178</c:v>
                </c:pt>
                <c:pt idx="7">
                  <c:v>2.216141996077452</c:v>
                </c:pt>
                <c:pt idx="8">
                  <c:v>1.108070998038726</c:v>
                </c:pt>
                <c:pt idx="9">
                  <c:v>0.4432283992154904</c:v>
                </c:pt>
                <c:pt idx="10">
                  <c:v>5.7910863839104207</c:v>
                </c:pt>
                <c:pt idx="11">
                  <c:v>4.3433147879328153</c:v>
                </c:pt>
                <c:pt idx="12">
                  <c:v>2.8955431919552104</c:v>
                </c:pt>
                <c:pt idx="13">
                  <c:v>1.4477715959776052</c:v>
                </c:pt>
                <c:pt idx="14">
                  <c:v>0.5791086383910421</c:v>
                </c:pt>
                <c:pt idx="15">
                  <c:v>9.5587811397075644</c:v>
                </c:pt>
                <c:pt idx="16">
                  <c:v>7.1690858547806737</c:v>
                </c:pt>
                <c:pt idx="17">
                  <c:v>4.7793905698537822</c:v>
                </c:pt>
                <c:pt idx="18">
                  <c:v>2.3896952849268911</c:v>
                </c:pt>
                <c:pt idx="19">
                  <c:v>0.9558781139707565</c:v>
                </c:pt>
                <c:pt idx="20">
                  <c:v>31.735153383829108</c:v>
                </c:pt>
                <c:pt idx="21">
                  <c:v>23.801365037871832</c:v>
                </c:pt>
                <c:pt idx="22">
                  <c:v>15.867576691914554</c:v>
                </c:pt>
                <c:pt idx="23">
                  <c:v>7.9337883459572769</c:v>
                </c:pt>
                <c:pt idx="24">
                  <c:v>3.1735153383829111</c:v>
                </c:pt>
                <c:pt idx="25">
                  <c:v>79.33788345957278</c:v>
                </c:pt>
                <c:pt idx="26">
                  <c:v>59.503412594679588</c:v>
                </c:pt>
                <c:pt idx="27">
                  <c:v>39.66894172978639</c:v>
                </c:pt>
                <c:pt idx="28">
                  <c:v>19.834470864893195</c:v>
                </c:pt>
                <c:pt idx="29">
                  <c:v>7.9337883459572787</c:v>
                </c:pt>
              </c:numCache>
            </c:numRef>
          </c:xVal>
          <c:yVal>
            <c:numRef>
              <c:f>data!$J$373:$J$402</c:f>
              <c:numCache>
                <c:formatCode>0.000</c:formatCode>
                <c:ptCount val="30"/>
                <c:pt idx="0">
                  <c:v>9.0274156212619035E-3</c:v>
                </c:pt>
                <c:pt idx="1">
                  <c:v>9.0274156212619E-3</c:v>
                </c:pt>
                <c:pt idx="2">
                  <c:v>9.0274156212619035E-3</c:v>
                </c:pt>
                <c:pt idx="3">
                  <c:v>9.0274156212619035E-3</c:v>
                </c:pt>
                <c:pt idx="4">
                  <c:v>9.0274156212619035E-3</c:v>
                </c:pt>
                <c:pt idx="5">
                  <c:v>1.0409392891500667E-2</c:v>
                </c:pt>
                <c:pt idx="6">
                  <c:v>1.0409392891500665E-2</c:v>
                </c:pt>
                <c:pt idx="7">
                  <c:v>1.0409392891500667E-2</c:v>
                </c:pt>
                <c:pt idx="8">
                  <c:v>1.0409392891500667E-2</c:v>
                </c:pt>
                <c:pt idx="9">
                  <c:v>1.0409392891500667E-2</c:v>
                </c:pt>
                <c:pt idx="10">
                  <c:v>1.1898484049353567E-2</c:v>
                </c:pt>
                <c:pt idx="11">
                  <c:v>1.1898484049353567E-2</c:v>
                </c:pt>
                <c:pt idx="12">
                  <c:v>1.1898484049353567E-2</c:v>
                </c:pt>
                <c:pt idx="13">
                  <c:v>1.1898484049353567E-2</c:v>
                </c:pt>
                <c:pt idx="14">
                  <c:v>1.1898484049353565E-2</c:v>
                </c:pt>
                <c:pt idx="15">
                  <c:v>1.5286669287505895E-2</c:v>
                </c:pt>
                <c:pt idx="16">
                  <c:v>1.5286669287505892E-2</c:v>
                </c:pt>
                <c:pt idx="17">
                  <c:v>1.5286669287505895E-2</c:v>
                </c:pt>
                <c:pt idx="18">
                  <c:v>1.5286669287505895E-2</c:v>
                </c:pt>
                <c:pt idx="19">
                  <c:v>1.5286669287505893E-2</c:v>
                </c:pt>
                <c:pt idx="20">
                  <c:v>2.7853637038033518E-2</c:v>
                </c:pt>
                <c:pt idx="21">
                  <c:v>2.7853637038033511E-2</c:v>
                </c:pt>
                <c:pt idx="22">
                  <c:v>2.7853637038033518E-2</c:v>
                </c:pt>
                <c:pt idx="23">
                  <c:v>2.7853637038033518E-2</c:v>
                </c:pt>
                <c:pt idx="24">
                  <c:v>2.7853637038033514E-2</c:v>
                </c:pt>
                <c:pt idx="25">
                  <c:v>4.4040467079905971E-2</c:v>
                </c:pt>
                <c:pt idx="26">
                  <c:v>4.4040467079905957E-2</c:v>
                </c:pt>
                <c:pt idx="27">
                  <c:v>4.4040467079905971E-2</c:v>
                </c:pt>
                <c:pt idx="28">
                  <c:v>4.4040467079905971E-2</c:v>
                </c:pt>
                <c:pt idx="29">
                  <c:v>4.4040467079905957E-2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90F-9A46-A390-F056CB88FFEE}"/>
            </c:ext>
          </c:extLst>
        </c:ser>
        <c:ser>
          <c:idx val="23"/>
          <c:order val="19"/>
          <c:tx>
            <c:v>50-50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A3090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data!$H$343:$H$372</c:f>
              <c:numCache>
                <c:formatCode>0.000</c:formatCode>
                <c:ptCount val="30"/>
                <c:pt idx="0">
                  <c:v>3.1606299286955224</c:v>
                </c:pt>
                <c:pt idx="1">
                  <c:v>2.3704724465216418</c:v>
                </c:pt>
                <c:pt idx="2">
                  <c:v>1.5803149643477612</c:v>
                </c:pt>
                <c:pt idx="3">
                  <c:v>0.7901574821738806</c:v>
                </c:pt>
                <c:pt idx="4">
                  <c:v>0.31606299286955225</c:v>
                </c:pt>
                <c:pt idx="5">
                  <c:v>4.2024018046342695</c:v>
                </c:pt>
                <c:pt idx="6">
                  <c:v>3.1518013534757023</c:v>
                </c:pt>
                <c:pt idx="7">
                  <c:v>2.1012009023171347</c:v>
                </c:pt>
                <c:pt idx="8">
                  <c:v>1.0506004511585674</c:v>
                </c:pt>
                <c:pt idx="9">
                  <c:v>0.42024018046342693</c:v>
                </c:pt>
                <c:pt idx="10">
                  <c:v>5.4907293651790825</c:v>
                </c:pt>
                <c:pt idx="11">
                  <c:v>4.1180470238843121</c:v>
                </c:pt>
                <c:pt idx="12">
                  <c:v>2.7453646825895412</c:v>
                </c:pt>
                <c:pt idx="13">
                  <c:v>1.3726823412947706</c:v>
                </c:pt>
                <c:pt idx="14">
                  <c:v>0.54907293651790823</c:v>
                </c:pt>
                <c:pt idx="15">
                  <c:v>9.0630111208377642</c:v>
                </c:pt>
                <c:pt idx="16">
                  <c:v>6.7972583406283222</c:v>
                </c:pt>
                <c:pt idx="17">
                  <c:v>4.5315055604188821</c:v>
                </c:pt>
                <c:pt idx="18">
                  <c:v>2.265752780209441</c:v>
                </c:pt>
                <c:pt idx="19">
                  <c:v>0.90630111208377628</c:v>
                </c:pt>
                <c:pt idx="20">
                  <c:v>30.089196921181372</c:v>
                </c:pt>
                <c:pt idx="21">
                  <c:v>22.56689769088603</c:v>
                </c:pt>
                <c:pt idx="22">
                  <c:v>15.044598460590686</c:v>
                </c:pt>
                <c:pt idx="23">
                  <c:v>7.5222992302953431</c:v>
                </c:pt>
                <c:pt idx="24">
                  <c:v>3.0089196921181371</c:v>
                </c:pt>
                <c:pt idx="25">
                  <c:v>75.222992302953429</c:v>
                </c:pt>
                <c:pt idx="26">
                  <c:v>56.417244227215072</c:v>
                </c:pt>
                <c:pt idx="27">
                  <c:v>37.611496151476715</c:v>
                </c:pt>
                <c:pt idx="28">
                  <c:v>18.805748075738357</c:v>
                </c:pt>
                <c:pt idx="29">
                  <c:v>7.5222992302953431</c:v>
                </c:pt>
              </c:numCache>
            </c:numRef>
          </c:xVal>
          <c:yVal>
            <c:numRef>
              <c:f>data!$J$343:$J$372</c:f>
              <c:numCache>
                <c:formatCode>0.000</c:formatCode>
                <c:ptCount val="30"/>
                <c:pt idx="0">
                  <c:v>1.0178942023113645E-2</c:v>
                </c:pt>
                <c:pt idx="1">
                  <c:v>1.0178942023113641E-2</c:v>
                </c:pt>
                <c:pt idx="2">
                  <c:v>1.0178942023113645E-2</c:v>
                </c:pt>
                <c:pt idx="3">
                  <c:v>1.0178942023113645E-2</c:v>
                </c:pt>
                <c:pt idx="4">
                  <c:v>1.0178942023113641E-2</c:v>
                </c:pt>
                <c:pt idx="5">
                  <c:v>1.1737202670589503E-2</c:v>
                </c:pt>
                <c:pt idx="6">
                  <c:v>1.1737202670589499E-2</c:v>
                </c:pt>
                <c:pt idx="7">
                  <c:v>1.1737202670589503E-2</c:v>
                </c:pt>
                <c:pt idx="8">
                  <c:v>1.1737202670589503E-2</c:v>
                </c:pt>
                <c:pt idx="9">
                  <c:v>1.1737202670589501E-2</c:v>
                </c:pt>
                <c:pt idx="10">
                  <c:v>1.3416240525810906E-2</c:v>
                </c:pt>
                <c:pt idx="11">
                  <c:v>1.3416240525810906E-2</c:v>
                </c:pt>
                <c:pt idx="12">
                  <c:v>1.3416240525810906E-2</c:v>
                </c:pt>
                <c:pt idx="13">
                  <c:v>1.3416240525810906E-2</c:v>
                </c:pt>
                <c:pt idx="14">
                  <c:v>1.3416240525810908E-2</c:v>
                </c:pt>
                <c:pt idx="15">
                  <c:v>1.7236618643939595E-2</c:v>
                </c:pt>
                <c:pt idx="16">
                  <c:v>1.7236618643939595E-2</c:v>
                </c:pt>
                <c:pt idx="17">
                  <c:v>1.7236618643939595E-2</c:v>
                </c:pt>
                <c:pt idx="18">
                  <c:v>1.7236618643939595E-2</c:v>
                </c:pt>
                <c:pt idx="19">
                  <c:v>1.7236618643939595E-2</c:v>
                </c:pt>
                <c:pt idx="20">
                  <c:v>3.1406613856930395E-2</c:v>
                </c:pt>
                <c:pt idx="21">
                  <c:v>3.1406613856930395E-2</c:v>
                </c:pt>
                <c:pt idx="22">
                  <c:v>3.1406613856930395E-2</c:v>
                </c:pt>
                <c:pt idx="23">
                  <c:v>3.1406613856930395E-2</c:v>
                </c:pt>
                <c:pt idx="24">
                  <c:v>3.1406613856930395E-2</c:v>
                </c:pt>
                <c:pt idx="25">
                  <c:v>4.9658216690652832E-2</c:v>
                </c:pt>
                <c:pt idx="26">
                  <c:v>4.9658216690652825E-2</c:v>
                </c:pt>
                <c:pt idx="27">
                  <c:v>4.9658216690652832E-2</c:v>
                </c:pt>
                <c:pt idx="28">
                  <c:v>4.9658216690652832E-2</c:v>
                </c:pt>
                <c:pt idx="29">
                  <c:v>4.9658216690652825E-2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90F-9A46-A390-F056CB88FFEE}"/>
            </c:ext>
          </c:extLst>
        </c:ser>
        <c:ser>
          <c:idx val="24"/>
          <c:order val="20"/>
          <c:tx>
            <c:v>30-70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E7120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data!$H$313:$H$342</c:f>
              <c:numCache>
                <c:formatCode>0.000</c:formatCode>
                <c:ptCount val="30"/>
                <c:pt idx="0">
                  <c:v>3.1771803210197507</c:v>
                </c:pt>
                <c:pt idx="1">
                  <c:v>2.3828852407648129</c:v>
                </c:pt>
                <c:pt idx="2">
                  <c:v>1.5885901605098753</c:v>
                </c:pt>
                <c:pt idx="3">
                  <c:v>0.79429508025493767</c:v>
                </c:pt>
                <c:pt idx="4">
                  <c:v>0.31771803210197508</c:v>
                </c:pt>
                <c:pt idx="5">
                  <c:v>4.2244073542050318</c:v>
                </c:pt>
                <c:pt idx="6">
                  <c:v>3.1683055156537736</c:v>
                </c:pt>
                <c:pt idx="7">
                  <c:v>2.1122036771025159</c:v>
                </c:pt>
                <c:pt idx="8">
                  <c:v>1.0561018385512579</c:v>
                </c:pt>
                <c:pt idx="9">
                  <c:v>0.42244073542050314</c:v>
                </c:pt>
                <c:pt idx="10">
                  <c:v>5.5194811416255511</c:v>
                </c:pt>
                <c:pt idx="11">
                  <c:v>4.1396108562191634</c:v>
                </c:pt>
                <c:pt idx="12">
                  <c:v>2.7597405708127756</c:v>
                </c:pt>
                <c:pt idx="13">
                  <c:v>1.3798702854063878</c:v>
                </c:pt>
                <c:pt idx="14">
                  <c:v>0.55194811416255518</c:v>
                </c:pt>
                <c:pt idx="15">
                  <c:v>9.1104688723216949</c:v>
                </c:pt>
                <c:pt idx="16">
                  <c:v>6.8328516542412707</c:v>
                </c:pt>
                <c:pt idx="17">
                  <c:v>4.5552344361608474</c:v>
                </c:pt>
                <c:pt idx="18">
                  <c:v>2.2776172180804237</c:v>
                </c:pt>
                <c:pt idx="19">
                  <c:v>0.91104688723216953</c:v>
                </c:pt>
                <c:pt idx="20">
                  <c:v>30.246756656108026</c:v>
                </c:pt>
                <c:pt idx="21">
                  <c:v>22.685067492081018</c:v>
                </c:pt>
                <c:pt idx="22">
                  <c:v>15.123378328054013</c:v>
                </c:pt>
                <c:pt idx="23">
                  <c:v>7.5616891640270065</c:v>
                </c:pt>
                <c:pt idx="24">
                  <c:v>3.0246756656108027</c:v>
                </c:pt>
                <c:pt idx="25">
                  <c:v>75.616891640270055</c:v>
                </c:pt>
                <c:pt idx="26">
                  <c:v>56.712668730202545</c:v>
                </c:pt>
                <c:pt idx="27">
                  <c:v>37.808445820135027</c:v>
                </c:pt>
                <c:pt idx="28">
                  <c:v>18.904222910067514</c:v>
                </c:pt>
                <c:pt idx="29">
                  <c:v>7.5616891640270065</c:v>
                </c:pt>
              </c:numCache>
            </c:numRef>
          </c:xVal>
          <c:yVal>
            <c:numRef>
              <c:f>data!$J$313:$J$342</c:f>
              <c:numCache>
                <c:formatCode>0.000</c:formatCode>
                <c:ptCount val="30"/>
                <c:pt idx="0">
                  <c:v>1.0237768004323451E-2</c:v>
                </c:pt>
                <c:pt idx="1">
                  <c:v>1.0237768004323449E-2</c:v>
                </c:pt>
                <c:pt idx="2">
                  <c:v>1.0237768004323451E-2</c:v>
                </c:pt>
                <c:pt idx="3">
                  <c:v>1.0237768004323451E-2</c:v>
                </c:pt>
                <c:pt idx="4">
                  <c:v>1.0237768004323449E-2</c:v>
                </c:pt>
                <c:pt idx="5">
                  <c:v>1.1805034127158163E-2</c:v>
                </c:pt>
                <c:pt idx="6">
                  <c:v>1.1805034127158163E-2</c:v>
                </c:pt>
                <c:pt idx="7">
                  <c:v>1.1805034127158163E-2</c:v>
                </c:pt>
                <c:pt idx="8">
                  <c:v>1.1805034127158163E-2</c:v>
                </c:pt>
                <c:pt idx="9">
                  <c:v>1.1805034127158165E-2</c:v>
                </c:pt>
                <c:pt idx="10">
                  <c:v>1.3493775451472682E-2</c:v>
                </c:pt>
                <c:pt idx="11">
                  <c:v>1.349377545147268E-2</c:v>
                </c:pt>
                <c:pt idx="12">
                  <c:v>1.3493775451472682E-2</c:v>
                </c:pt>
                <c:pt idx="13">
                  <c:v>1.3493775451472682E-2</c:v>
                </c:pt>
                <c:pt idx="14">
                  <c:v>1.3493775451472678E-2</c:v>
                </c:pt>
                <c:pt idx="15">
                  <c:v>1.7336232238571198E-2</c:v>
                </c:pt>
                <c:pt idx="16">
                  <c:v>1.7336232238571194E-2</c:v>
                </c:pt>
                <c:pt idx="17">
                  <c:v>1.7336232238571198E-2</c:v>
                </c:pt>
                <c:pt idx="18">
                  <c:v>1.7336232238571198E-2</c:v>
                </c:pt>
                <c:pt idx="19">
                  <c:v>1.7336232238571194E-2</c:v>
                </c:pt>
                <c:pt idx="20">
                  <c:v>3.1588118464424587E-2</c:v>
                </c:pt>
                <c:pt idx="21">
                  <c:v>3.1588118464424587E-2</c:v>
                </c:pt>
                <c:pt idx="22">
                  <c:v>3.1588118464424587E-2</c:v>
                </c:pt>
                <c:pt idx="23">
                  <c:v>3.1588118464424587E-2</c:v>
                </c:pt>
                <c:pt idx="24">
                  <c:v>3.1588118464424587E-2</c:v>
                </c:pt>
                <c:pt idx="25">
                  <c:v>4.9945200673401094E-2</c:v>
                </c:pt>
                <c:pt idx="26">
                  <c:v>4.994520067340108E-2</c:v>
                </c:pt>
                <c:pt idx="27">
                  <c:v>4.9945200673401094E-2</c:v>
                </c:pt>
                <c:pt idx="28">
                  <c:v>4.9945200673401094E-2</c:v>
                </c:pt>
                <c:pt idx="29">
                  <c:v>4.994520067340108E-2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90F-9A46-A390-F056CB88FFEE}"/>
            </c:ext>
          </c:extLst>
        </c:ser>
        <c:ser>
          <c:idx val="25"/>
          <c:order val="21"/>
          <c:tx>
            <c:v>10-90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>
                  <a:alpha val="43137"/>
                </a:srgb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data!$H$283:$H$312</c:f>
              <c:numCache>
                <c:formatCode>0.000</c:formatCode>
                <c:ptCount val="30"/>
                <c:pt idx="0">
                  <c:v>4.5324236828224169</c:v>
                </c:pt>
                <c:pt idx="1">
                  <c:v>3.3993177621168127</c:v>
                </c:pt>
                <c:pt idx="2">
                  <c:v>2.2662118414112085</c:v>
                </c:pt>
                <c:pt idx="3">
                  <c:v>1.1331059207056042</c:v>
                </c:pt>
                <c:pt idx="4">
                  <c:v>0.45324236828224174</c:v>
                </c:pt>
                <c:pt idx="5">
                  <c:v>6.0263510419649995</c:v>
                </c:pt>
                <c:pt idx="6">
                  <c:v>4.5197632814737494</c:v>
                </c:pt>
                <c:pt idx="7">
                  <c:v>3.0131755209824997</c:v>
                </c:pt>
                <c:pt idx="8">
                  <c:v>1.5065877604912499</c:v>
                </c:pt>
                <c:pt idx="9">
                  <c:v>0.60263510419650002</c:v>
                </c:pt>
                <c:pt idx="10">
                  <c:v>7.8738455219834664</c:v>
                </c:pt>
                <c:pt idx="11">
                  <c:v>5.9053841414876</c:v>
                </c:pt>
                <c:pt idx="12">
                  <c:v>3.9369227609917332</c:v>
                </c:pt>
                <c:pt idx="13">
                  <c:v>1.9684613804958666</c:v>
                </c:pt>
                <c:pt idx="14">
                  <c:v>0.78738455219834669</c:v>
                </c:pt>
                <c:pt idx="15">
                  <c:v>12.996588391707652</c:v>
                </c:pt>
                <c:pt idx="16">
                  <c:v>9.7474412937807404</c:v>
                </c:pt>
                <c:pt idx="17">
                  <c:v>6.4982941958538261</c:v>
                </c:pt>
                <c:pt idx="18">
                  <c:v>3.249147097926913</c:v>
                </c:pt>
                <c:pt idx="19">
                  <c:v>1.2996588391707655</c:v>
                </c:pt>
                <c:pt idx="20">
                  <c:v>43.148673460469411</c:v>
                </c:pt>
                <c:pt idx="21">
                  <c:v>32.361505095352058</c:v>
                </c:pt>
                <c:pt idx="22">
                  <c:v>21.574336730234705</c:v>
                </c:pt>
                <c:pt idx="23">
                  <c:v>10.787168365117353</c:v>
                </c:pt>
                <c:pt idx="24">
                  <c:v>4.3148673460469409</c:v>
                </c:pt>
                <c:pt idx="25">
                  <c:v>107.87168365117351</c:v>
                </c:pt>
                <c:pt idx="26">
                  <c:v>80.903762738380138</c:v>
                </c:pt>
                <c:pt idx="27">
                  <c:v>53.935841825586756</c:v>
                </c:pt>
                <c:pt idx="28">
                  <c:v>26.967920912793378</c:v>
                </c:pt>
                <c:pt idx="29">
                  <c:v>10.787168365117353</c:v>
                </c:pt>
              </c:numCache>
            </c:numRef>
          </c:xVal>
          <c:yVal>
            <c:numRef>
              <c:f>data!$J$283:$J$312</c:f>
              <c:numCache>
                <c:formatCode>0.000</c:formatCode>
                <c:ptCount val="30"/>
                <c:pt idx="0">
                  <c:v>7.4294167401741402E-3</c:v>
                </c:pt>
                <c:pt idx="1">
                  <c:v>7.4294167401741393E-3</c:v>
                </c:pt>
                <c:pt idx="2">
                  <c:v>7.4294167401741402E-3</c:v>
                </c:pt>
                <c:pt idx="3">
                  <c:v>7.4294167401741402E-3</c:v>
                </c:pt>
                <c:pt idx="4">
                  <c:v>7.4294167401741393E-3</c:v>
                </c:pt>
                <c:pt idx="5">
                  <c:v>8.5667616345279501E-3</c:v>
                </c:pt>
                <c:pt idx="6">
                  <c:v>8.5667616345279501E-3</c:v>
                </c:pt>
                <c:pt idx="7">
                  <c:v>8.5667616345279501E-3</c:v>
                </c:pt>
                <c:pt idx="8">
                  <c:v>8.5667616345279501E-3</c:v>
                </c:pt>
                <c:pt idx="9">
                  <c:v>8.5667616345279484E-3</c:v>
                </c:pt>
                <c:pt idx="10">
                  <c:v>9.7922595222890065E-3</c:v>
                </c:pt>
                <c:pt idx="11">
                  <c:v>9.7922595222890048E-3</c:v>
                </c:pt>
                <c:pt idx="12">
                  <c:v>9.7922595222890065E-3</c:v>
                </c:pt>
                <c:pt idx="13">
                  <c:v>9.7922595222890065E-3</c:v>
                </c:pt>
                <c:pt idx="14">
                  <c:v>9.7922595222890048E-3</c:v>
                </c:pt>
                <c:pt idx="15">
                  <c:v>1.25806810576676E-2</c:v>
                </c:pt>
                <c:pt idx="16">
                  <c:v>1.2580681057667598E-2</c:v>
                </c:pt>
                <c:pt idx="17">
                  <c:v>1.25806810576676E-2</c:v>
                </c:pt>
                <c:pt idx="18">
                  <c:v>1.25806810576676E-2</c:v>
                </c:pt>
                <c:pt idx="19">
                  <c:v>1.2580681057667598E-2</c:v>
                </c:pt>
                <c:pt idx="20">
                  <c:v>2.2923091831255901E-2</c:v>
                </c:pt>
                <c:pt idx="21">
                  <c:v>2.2923091831255901E-2</c:v>
                </c:pt>
                <c:pt idx="22">
                  <c:v>2.2923091831255901E-2</c:v>
                </c:pt>
                <c:pt idx="23">
                  <c:v>2.2923091831255901E-2</c:v>
                </c:pt>
                <c:pt idx="24">
                  <c:v>2.2923091831255901E-2</c:v>
                </c:pt>
                <c:pt idx="25">
                  <c:v>3.6244590599984403E-2</c:v>
                </c:pt>
                <c:pt idx="26">
                  <c:v>3.6244590599984403E-2</c:v>
                </c:pt>
                <c:pt idx="27">
                  <c:v>3.6244590599984403E-2</c:v>
                </c:pt>
                <c:pt idx="28">
                  <c:v>3.6244590599984403E-2</c:v>
                </c:pt>
                <c:pt idx="29">
                  <c:v>3.6244590599984396E-2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90F-9A46-A390-F056CB88FFEE}"/>
            </c:ext>
          </c:extLst>
        </c:ser>
        <c:ser>
          <c:idx val="26"/>
          <c:order val="22"/>
          <c:tx>
            <c:v>5-95 water &amp; 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FF0000">
                  <a:alpha val="14118"/>
                </a:srgb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data!$H$253:$H$282</c:f>
              <c:numCache>
                <c:formatCode>0.000</c:formatCode>
                <c:ptCount val="30"/>
                <c:pt idx="0">
                  <c:v>4.7274041713231938</c:v>
                </c:pt>
                <c:pt idx="1">
                  <c:v>3.5455531284923958</c:v>
                </c:pt>
                <c:pt idx="2">
                  <c:v>2.3637020856615969</c:v>
                </c:pt>
                <c:pt idx="3">
                  <c:v>1.1818510428307984</c:v>
                </c:pt>
                <c:pt idx="4">
                  <c:v>0.4727404171323194</c:v>
                </c:pt>
                <c:pt idx="5">
                  <c:v>6.2855988423179898</c:v>
                </c:pt>
                <c:pt idx="6">
                  <c:v>4.7141991317384928</c:v>
                </c:pt>
                <c:pt idx="7">
                  <c:v>3.1427994211589949</c:v>
                </c:pt>
                <c:pt idx="8">
                  <c:v>1.5713997105794975</c:v>
                </c:pt>
                <c:pt idx="9">
                  <c:v>0.62855988423179898</c:v>
                </c:pt>
                <c:pt idx="10">
                  <c:v>8.2125707501818983</c:v>
                </c:pt>
                <c:pt idx="11">
                  <c:v>6.1594280626364242</c:v>
                </c:pt>
                <c:pt idx="12">
                  <c:v>4.1062853750909492</c:v>
                </c:pt>
                <c:pt idx="13">
                  <c:v>2.0531426875454746</c:v>
                </c:pt>
                <c:pt idx="14">
                  <c:v>0.82125707501818968</c:v>
                </c:pt>
                <c:pt idx="15">
                  <c:v>13.555689069577353</c:v>
                </c:pt>
                <c:pt idx="16">
                  <c:v>10.166766802183016</c:v>
                </c:pt>
                <c:pt idx="17">
                  <c:v>6.7778445347886764</c:v>
                </c:pt>
                <c:pt idx="18">
                  <c:v>3.3889222673943382</c:v>
                </c:pt>
                <c:pt idx="19">
                  <c:v>1.3555689069577352</c:v>
                </c:pt>
                <c:pt idx="20">
                  <c:v>45.004887710996805</c:v>
                </c:pt>
                <c:pt idx="21">
                  <c:v>33.753665783247605</c:v>
                </c:pt>
                <c:pt idx="22">
                  <c:v>22.502443855498402</c:v>
                </c:pt>
                <c:pt idx="23">
                  <c:v>11.251221927749201</c:v>
                </c:pt>
                <c:pt idx="24">
                  <c:v>4.5004887710996808</c:v>
                </c:pt>
                <c:pt idx="25">
                  <c:v>112.51221927749202</c:v>
                </c:pt>
                <c:pt idx="26">
                  <c:v>84.384164458119017</c:v>
                </c:pt>
                <c:pt idx="27">
                  <c:v>56.256109638746011</c:v>
                </c:pt>
                <c:pt idx="28">
                  <c:v>28.128054819373006</c:v>
                </c:pt>
                <c:pt idx="29">
                  <c:v>11.251221927749201</c:v>
                </c:pt>
              </c:numCache>
            </c:numRef>
          </c:xVal>
          <c:yVal>
            <c:numRef>
              <c:f>data!$J$253:$J$282</c:f>
              <c:numCache>
                <c:formatCode>0.000</c:formatCode>
                <c:ptCount val="30"/>
                <c:pt idx="0">
                  <c:v>7.1964252839247867E-3</c:v>
                </c:pt>
                <c:pt idx="1">
                  <c:v>7.1964252839247858E-3</c:v>
                </c:pt>
                <c:pt idx="2">
                  <c:v>7.1964252839247867E-3</c:v>
                </c:pt>
                <c:pt idx="3">
                  <c:v>7.1964252839247867E-3</c:v>
                </c:pt>
                <c:pt idx="4">
                  <c:v>7.1964252839247867E-3</c:v>
                </c:pt>
                <c:pt idx="5">
                  <c:v>8.2981022850292744E-3</c:v>
                </c:pt>
                <c:pt idx="6">
                  <c:v>8.2981022850292709E-3</c:v>
                </c:pt>
                <c:pt idx="7">
                  <c:v>8.2981022850292744E-3</c:v>
                </c:pt>
                <c:pt idx="8">
                  <c:v>8.2981022850292744E-3</c:v>
                </c:pt>
                <c:pt idx="9">
                  <c:v>8.2981022850292727E-3</c:v>
                </c:pt>
                <c:pt idx="10">
                  <c:v>9.4851677429663352E-3</c:v>
                </c:pt>
                <c:pt idx="11">
                  <c:v>9.4851677429663335E-3</c:v>
                </c:pt>
                <c:pt idx="12">
                  <c:v>9.4851677429663352E-3</c:v>
                </c:pt>
                <c:pt idx="13">
                  <c:v>9.4851677429663352E-3</c:v>
                </c:pt>
                <c:pt idx="14">
                  <c:v>9.4851677429663352E-3</c:v>
                </c:pt>
                <c:pt idx="15">
                  <c:v>1.2186142522174715E-2</c:v>
                </c:pt>
                <c:pt idx="16">
                  <c:v>1.2186142522174712E-2</c:v>
                </c:pt>
                <c:pt idx="17">
                  <c:v>1.2186142522174715E-2</c:v>
                </c:pt>
                <c:pt idx="18">
                  <c:v>1.2186142522174715E-2</c:v>
                </c:pt>
                <c:pt idx="19">
                  <c:v>1.2186142522174712E-2</c:v>
                </c:pt>
                <c:pt idx="20">
                  <c:v>2.2204208406851746E-2</c:v>
                </c:pt>
                <c:pt idx="21">
                  <c:v>2.2204208406851743E-2</c:v>
                </c:pt>
                <c:pt idx="22">
                  <c:v>2.2204208406851746E-2</c:v>
                </c:pt>
                <c:pt idx="23">
                  <c:v>2.2204208406851746E-2</c:v>
                </c:pt>
                <c:pt idx="24">
                  <c:v>2.2204208406851743E-2</c:v>
                </c:pt>
                <c:pt idx="25">
                  <c:v>3.5107936103355102E-2</c:v>
                </c:pt>
                <c:pt idx="26">
                  <c:v>3.5107936103355095E-2</c:v>
                </c:pt>
                <c:pt idx="27">
                  <c:v>3.5107936103355102E-2</c:v>
                </c:pt>
                <c:pt idx="28">
                  <c:v>3.5107936103355102E-2</c:v>
                </c:pt>
                <c:pt idx="29">
                  <c:v>3.5107936103355102E-2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90F-9A46-A390-F056CB88FFEE}"/>
            </c:ext>
          </c:extLst>
        </c:ser>
        <c:ser>
          <c:idx val="9"/>
          <c:order val="23"/>
          <c:tx>
            <c:v>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data!#REF!</c:f>
              <c:numCache>
                <c:formatCode>0.000</c:formatCode>
                <c:ptCount val="20"/>
                <c:pt idx="0">
                  <c:v>10.184367404663863</c:v>
                </c:pt>
                <c:pt idx="1">
                  <c:v>7.6382755534978974</c:v>
                </c:pt>
                <c:pt idx="2">
                  <c:v>5.0921837023319316</c:v>
                </c:pt>
                <c:pt idx="3">
                  <c:v>2.5460918511659658</c:v>
                </c:pt>
                <c:pt idx="4">
                  <c:v>1.0184367404663863</c:v>
                </c:pt>
                <c:pt idx="5">
                  <c:v>1.6810341378782523</c:v>
                </c:pt>
                <c:pt idx="6">
                  <c:v>4.2025853446956312</c:v>
                </c:pt>
                <c:pt idx="7">
                  <c:v>8.4051706893912623</c:v>
                </c:pt>
                <c:pt idx="8">
                  <c:v>12.607756034086892</c:v>
                </c:pt>
                <c:pt idx="9">
                  <c:v>16.810341378782525</c:v>
                </c:pt>
                <c:pt idx="10">
                  <c:v>55.810333377557974</c:v>
                </c:pt>
                <c:pt idx="11">
                  <c:v>41.857750033168479</c:v>
                </c:pt>
                <c:pt idx="12">
                  <c:v>27.905166688778987</c:v>
                </c:pt>
                <c:pt idx="13">
                  <c:v>13.952583344389494</c:v>
                </c:pt>
                <c:pt idx="14">
                  <c:v>5.5810333377557972</c:v>
                </c:pt>
                <c:pt idx="15">
                  <c:v>13.952583344389494</c:v>
                </c:pt>
                <c:pt idx="16">
                  <c:v>34.881458360973738</c:v>
                </c:pt>
                <c:pt idx="17">
                  <c:v>69.762916721947477</c:v>
                </c:pt>
                <c:pt idx="18">
                  <c:v>104.6443750829212</c:v>
                </c:pt>
                <c:pt idx="19">
                  <c:v>139.52583344389495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20"/>
                <c:pt idx="0">
                  <c:v>7.7273872271312605E-3</c:v>
                </c:pt>
                <c:pt idx="1">
                  <c:v>7.7273872271312587E-3</c:v>
                </c:pt>
                <c:pt idx="2">
                  <c:v>7.7273872271312605E-3</c:v>
                </c:pt>
                <c:pt idx="3">
                  <c:v>7.7273872271312605E-3</c:v>
                </c:pt>
                <c:pt idx="4">
                  <c:v>7.7273872271312587E-3</c:v>
                </c:pt>
                <c:pt idx="5">
                  <c:v>9.9278204271804234E-3</c:v>
                </c:pt>
                <c:pt idx="6">
                  <c:v>9.9278204271804234E-3</c:v>
                </c:pt>
                <c:pt idx="7">
                  <c:v>9.9278204271804234E-3</c:v>
                </c:pt>
                <c:pt idx="8">
                  <c:v>9.9278204271804234E-3</c:v>
                </c:pt>
                <c:pt idx="9">
                  <c:v>9.9278204271804234E-3</c:v>
                </c:pt>
                <c:pt idx="10">
                  <c:v>1.8089349717499845E-2</c:v>
                </c:pt>
                <c:pt idx="11">
                  <c:v>1.8089349717499845E-2</c:v>
                </c:pt>
                <c:pt idx="12">
                  <c:v>1.8089349717499845E-2</c:v>
                </c:pt>
                <c:pt idx="13">
                  <c:v>1.8089349717499845E-2</c:v>
                </c:pt>
                <c:pt idx="14">
                  <c:v>1.8089349717499845E-2</c:v>
                </c:pt>
                <c:pt idx="15">
                  <c:v>2.8601773249311475E-2</c:v>
                </c:pt>
                <c:pt idx="16">
                  <c:v>2.8601773249311471E-2</c:v>
                </c:pt>
                <c:pt idx="17">
                  <c:v>2.8601773249311471E-2</c:v>
                </c:pt>
                <c:pt idx="18">
                  <c:v>2.8601773249311471E-2</c:v>
                </c:pt>
                <c:pt idx="19">
                  <c:v>2.8601773249311471E-2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90F-9A46-A390-F056CB88FFEE}"/>
            </c:ext>
          </c:extLst>
        </c:ser>
        <c:ser>
          <c:idx val="11"/>
          <c:order val="24"/>
          <c:tx>
            <c:v>Ethanol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data!#REF!</c:f>
              <c:numCache>
                <c:formatCode>0.000</c:formatCode>
                <c:ptCount val="10"/>
                <c:pt idx="0">
                  <c:v>7.7947392985416153</c:v>
                </c:pt>
                <c:pt idx="1">
                  <c:v>5.8460544739062117</c:v>
                </c:pt>
                <c:pt idx="2">
                  <c:v>3.8973696492708076</c:v>
                </c:pt>
                <c:pt idx="3">
                  <c:v>1.9486848246354038</c:v>
                </c:pt>
                <c:pt idx="4">
                  <c:v>0.77947392985416153</c:v>
                </c:pt>
                <c:pt idx="5">
                  <c:v>5.8624299766342407</c:v>
                </c:pt>
                <c:pt idx="6">
                  <c:v>4.396822482475681</c:v>
                </c:pt>
                <c:pt idx="7">
                  <c:v>2.9312149883171204</c:v>
                </c:pt>
                <c:pt idx="8">
                  <c:v>1.4656074941585602</c:v>
                </c:pt>
                <c:pt idx="9">
                  <c:v>0.58624299766342403</c:v>
                </c:pt>
              </c:numCache>
            </c:numRef>
          </c:xVal>
          <c:yVal>
            <c:numRef>
              <c:f>data!#REF!</c:f>
              <c:numCache>
                <c:formatCode>0.000</c:formatCode>
                <c:ptCount val="10"/>
                <c:pt idx="0">
                  <c:v>6.7603073919608519E-3</c:v>
                </c:pt>
                <c:pt idx="1">
                  <c:v>6.7603073919608502E-3</c:v>
                </c:pt>
                <c:pt idx="2">
                  <c:v>6.7603073919608519E-3</c:v>
                </c:pt>
                <c:pt idx="3">
                  <c:v>6.7603073919608519E-3</c:v>
                </c:pt>
                <c:pt idx="4">
                  <c:v>6.7603073919608519E-3</c:v>
                </c:pt>
                <c:pt idx="5">
                  <c:v>5.8627919217603469E-3</c:v>
                </c:pt>
                <c:pt idx="6">
                  <c:v>5.8627919217603469E-3</c:v>
                </c:pt>
                <c:pt idx="7">
                  <c:v>5.8627919217603469E-3</c:v>
                </c:pt>
                <c:pt idx="8">
                  <c:v>5.8627919217603469E-3</c:v>
                </c:pt>
                <c:pt idx="9">
                  <c:v>5.8627919217603477E-3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90F-9A46-A390-F056CB88FFEE}"/>
            </c:ext>
          </c:extLst>
        </c:ser>
        <c:ser>
          <c:idx val="20"/>
          <c:order val="25"/>
          <c:tx>
            <c:v>Silicon Oil 2 cSt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data!$H$463:$H$492</c:f>
              <c:numCache>
                <c:formatCode>0.000</c:formatCode>
                <c:ptCount val="30"/>
                <c:pt idx="0">
                  <c:v>4.4334911488526494</c:v>
                </c:pt>
                <c:pt idx="1">
                  <c:v>3.3251183616394875</c:v>
                </c:pt>
                <c:pt idx="2">
                  <c:v>2.2167455744263247</c:v>
                </c:pt>
                <c:pt idx="3">
                  <c:v>1.1083727872131623</c:v>
                </c:pt>
                <c:pt idx="4">
                  <c:v>0.44334911488526496</c:v>
                </c:pt>
                <c:pt idx="5">
                  <c:v>5.8948094604856447</c:v>
                </c:pt>
                <c:pt idx="6">
                  <c:v>4.421107095364234</c:v>
                </c:pt>
                <c:pt idx="7">
                  <c:v>2.9474047302428223</c:v>
                </c:pt>
                <c:pt idx="8">
                  <c:v>1.4737023651214112</c:v>
                </c:pt>
                <c:pt idx="9">
                  <c:v>0.58948094604856449</c:v>
                </c:pt>
                <c:pt idx="10">
                  <c:v>7.7019773242841625</c:v>
                </c:pt>
                <c:pt idx="11">
                  <c:v>5.7764829932131221</c:v>
                </c:pt>
                <c:pt idx="12">
                  <c:v>3.8509886621420812</c:v>
                </c:pt>
                <c:pt idx="13">
                  <c:v>1.9254943310710406</c:v>
                </c:pt>
                <c:pt idx="14">
                  <c:v>0.77019773242841627</c:v>
                </c:pt>
                <c:pt idx="15">
                  <c:v>12.712902330444944</c:v>
                </c:pt>
                <c:pt idx="16">
                  <c:v>9.5346767478337089</c:v>
                </c:pt>
                <c:pt idx="17">
                  <c:v>6.356451165222472</c:v>
                </c:pt>
                <c:pt idx="18">
                  <c:v>3.178225582611236</c:v>
                </c:pt>
                <c:pt idx="19">
                  <c:v>1.2712902330444944</c:v>
                </c:pt>
                <c:pt idx="20">
                  <c:v>42.20683573707722</c:v>
                </c:pt>
                <c:pt idx="21">
                  <c:v>31.655126802807917</c:v>
                </c:pt>
                <c:pt idx="22">
                  <c:v>21.10341786853861</c:v>
                </c:pt>
                <c:pt idx="23">
                  <c:v>10.551708934269305</c:v>
                </c:pt>
                <c:pt idx="24">
                  <c:v>4.2206835737077215</c:v>
                </c:pt>
                <c:pt idx="25">
                  <c:v>105.51708934269304</c:v>
                </c:pt>
                <c:pt idx="26">
                  <c:v>79.137817007019791</c:v>
                </c:pt>
                <c:pt idx="27">
                  <c:v>52.75854467134652</c:v>
                </c:pt>
                <c:pt idx="28">
                  <c:v>26.37927233567326</c:v>
                </c:pt>
                <c:pt idx="29">
                  <c:v>10.551708934269305</c:v>
                </c:pt>
              </c:numCache>
            </c:numRef>
          </c:xVal>
          <c:yVal>
            <c:numRef>
              <c:f>data!$J$463:$J$492</c:f>
              <c:numCache>
                <c:formatCode>0.000</c:formatCode>
                <c:ptCount val="30"/>
                <c:pt idx="0">
                  <c:v>9.2957023362165367E-3</c:v>
                </c:pt>
                <c:pt idx="1">
                  <c:v>9.295702336216535E-3</c:v>
                </c:pt>
                <c:pt idx="2">
                  <c:v>9.2957023362165367E-3</c:v>
                </c:pt>
                <c:pt idx="3">
                  <c:v>9.2957023362165367E-3</c:v>
                </c:pt>
                <c:pt idx="4">
                  <c:v>9.295702336216535E-3</c:v>
                </c:pt>
                <c:pt idx="5">
                  <c:v>1.0718750734398175E-2</c:v>
                </c:pt>
                <c:pt idx="6">
                  <c:v>1.0718750734398172E-2</c:v>
                </c:pt>
                <c:pt idx="7">
                  <c:v>1.0718750734398175E-2</c:v>
                </c:pt>
                <c:pt idx="8">
                  <c:v>1.0718750734398175E-2</c:v>
                </c:pt>
                <c:pt idx="9">
                  <c:v>1.0718750734398173E-2</c:v>
                </c:pt>
                <c:pt idx="10">
                  <c:v>1.2252096349093342E-2</c:v>
                </c:pt>
                <c:pt idx="11">
                  <c:v>1.225209634909334E-2</c:v>
                </c:pt>
                <c:pt idx="12">
                  <c:v>1.2252096349093342E-2</c:v>
                </c:pt>
                <c:pt idx="13">
                  <c:v>1.2252096349093342E-2</c:v>
                </c:pt>
                <c:pt idx="14">
                  <c:v>1.225209634909334E-2</c:v>
                </c:pt>
                <c:pt idx="15">
                  <c:v>1.5740975420933882E-2</c:v>
                </c:pt>
                <c:pt idx="16">
                  <c:v>1.5740975420933875E-2</c:v>
                </c:pt>
                <c:pt idx="17">
                  <c:v>1.5740975420933882E-2</c:v>
                </c:pt>
                <c:pt idx="18">
                  <c:v>1.5740975420933882E-2</c:v>
                </c:pt>
                <c:pt idx="19">
                  <c:v>1.5740975420933882E-2</c:v>
                </c:pt>
                <c:pt idx="20">
                  <c:v>2.8681422208672213E-2</c:v>
                </c:pt>
                <c:pt idx="21">
                  <c:v>2.8681422208672206E-2</c:v>
                </c:pt>
                <c:pt idx="22">
                  <c:v>2.8681422208672213E-2</c:v>
                </c:pt>
                <c:pt idx="23">
                  <c:v>2.8681422208672213E-2</c:v>
                </c:pt>
                <c:pt idx="24">
                  <c:v>2.8681422208672216E-2</c:v>
                </c:pt>
                <c:pt idx="25">
                  <c:v>4.5349310356170687E-2</c:v>
                </c:pt>
                <c:pt idx="26">
                  <c:v>4.5349310356170673E-2</c:v>
                </c:pt>
                <c:pt idx="27">
                  <c:v>4.5349310356170687E-2</c:v>
                </c:pt>
                <c:pt idx="28">
                  <c:v>4.5349310356170687E-2</c:v>
                </c:pt>
                <c:pt idx="29">
                  <c:v>4.534931035617068E-2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90F-9A46-A390-F056CB88FFEE}"/>
            </c:ext>
          </c:extLst>
        </c:ser>
        <c:ser>
          <c:idx val="19"/>
          <c:order val="26"/>
          <c:tx>
            <c:v>Silicon Oil 5 cSt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data!$H$433:$H$462</c:f>
              <c:numCache>
                <c:formatCode>0.000</c:formatCode>
                <c:ptCount val="30"/>
                <c:pt idx="0">
                  <c:v>1.7754954070414832</c:v>
                </c:pt>
                <c:pt idx="1">
                  <c:v>1.3316215552811124</c:v>
                </c:pt>
                <c:pt idx="2">
                  <c:v>0.88774770352074162</c:v>
                </c:pt>
                <c:pt idx="3">
                  <c:v>0.44387385176037081</c:v>
                </c:pt>
                <c:pt idx="4">
                  <c:v>0.1775495407041483</c:v>
                </c:pt>
                <c:pt idx="5">
                  <c:v>2.3607145635523628</c:v>
                </c:pt>
                <c:pt idx="6">
                  <c:v>1.7705359226642718</c:v>
                </c:pt>
                <c:pt idx="7">
                  <c:v>1.1803572817761814</c:v>
                </c:pt>
                <c:pt idx="8">
                  <c:v>0.59017864088809069</c:v>
                </c:pt>
                <c:pt idx="9">
                  <c:v>0.23607145635523621</c:v>
                </c:pt>
                <c:pt idx="10">
                  <c:v>3.0844372764662249</c:v>
                </c:pt>
                <c:pt idx="11">
                  <c:v>2.3133279573496686</c:v>
                </c:pt>
                <c:pt idx="12">
                  <c:v>1.5422186382331124</c:v>
                </c:pt>
                <c:pt idx="13">
                  <c:v>0.77110931911655622</c:v>
                </c:pt>
                <c:pt idx="14">
                  <c:v>0.30844372764662248</c:v>
                </c:pt>
                <c:pt idx="15">
                  <c:v>5.0911796009141321</c:v>
                </c:pt>
                <c:pt idx="16">
                  <c:v>3.8183847006855989</c:v>
                </c:pt>
                <c:pt idx="17">
                  <c:v>2.5455898004570661</c:v>
                </c:pt>
                <c:pt idx="18">
                  <c:v>1.272794900228533</c:v>
                </c:pt>
                <c:pt idx="19">
                  <c:v>0.50911796009141308</c:v>
                </c:pt>
                <c:pt idx="20">
                  <c:v>16.902716275034919</c:v>
                </c:pt>
                <c:pt idx="21">
                  <c:v>12.677037206276188</c:v>
                </c:pt>
                <c:pt idx="22">
                  <c:v>8.4513581375174596</c:v>
                </c:pt>
                <c:pt idx="23">
                  <c:v>4.2256790687587298</c:v>
                </c:pt>
                <c:pt idx="24">
                  <c:v>1.6902716275034915</c:v>
                </c:pt>
                <c:pt idx="25">
                  <c:v>42.256790687587298</c:v>
                </c:pt>
                <c:pt idx="26">
                  <c:v>31.692593015690473</c:v>
                </c:pt>
                <c:pt idx="27">
                  <c:v>21.128395343793649</c:v>
                </c:pt>
                <c:pt idx="28">
                  <c:v>10.564197671896824</c:v>
                </c:pt>
                <c:pt idx="29">
                  <c:v>4.2256790687587289</c:v>
                </c:pt>
              </c:numCache>
            </c:numRef>
          </c:xVal>
          <c:yVal>
            <c:numRef>
              <c:f>data!$J$433:$J$461</c:f>
              <c:numCache>
                <c:formatCode>0.000</c:formatCode>
                <c:ptCount val="29"/>
                <c:pt idx="0">
                  <c:v>2.2542648158367821E-2</c:v>
                </c:pt>
                <c:pt idx="1">
                  <c:v>2.2542648158367817E-2</c:v>
                </c:pt>
                <c:pt idx="2">
                  <c:v>2.2542648158367821E-2</c:v>
                </c:pt>
                <c:pt idx="3">
                  <c:v>2.2542648158367821E-2</c:v>
                </c:pt>
                <c:pt idx="4">
                  <c:v>2.2542648158367817E-2</c:v>
                </c:pt>
                <c:pt idx="5">
                  <c:v>2.5993627782312428E-2</c:v>
                </c:pt>
                <c:pt idx="6">
                  <c:v>2.5993627782312432E-2</c:v>
                </c:pt>
                <c:pt idx="7">
                  <c:v>2.5993627782312428E-2</c:v>
                </c:pt>
                <c:pt idx="8">
                  <c:v>2.5993627782312428E-2</c:v>
                </c:pt>
                <c:pt idx="9">
                  <c:v>2.5993627782312435E-2</c:v>
                </c:pt>
                <c:pt idx="10">
                  <c:v>2.971208491949719E-2</c:v>
                </c:pt>
                <c:pt idx="11">
                  <c:v>2.9712084919497186E-2</c:v>
                </c:pt>
                <c:pt idx="12">
                  <c:v>2.971208491949719E-2</c:v>
                </c:pt>
                <c:pt idx="13">
                  <c:v>2.971208491949719E-2</c:v>
                </c:pt>
                <c:pt idx="14">
                  <c:v>2.971208491949719E-2</c:v>
                </c:pt>
                <c:pt idx="15">
                  <c:v>3.8172830599484724E-2</c:v>
                </c:pt>
                <c:pt idx="16">
                  <c:v>3.8172830599484717E-2</c:v>
                </c:pt>
                <c:pt idx="17">
                  <c:v>3.8172830599484724E-2</c:v>
                </c:pt>
                <c:pt idx="18">
                  <c:v>3.8172830599484724E-2</c:v>
                </c:pt>
                <c:pt idx="19">
                  <c:v>3.8172830599484731E-2</c:v>
                </c:pt>
                <c:pt idx="20">
                  <c:v>6.9554207540906521E-2</c:v>
                </c:pt>
                <c:pt idx="21">
                  <c:v>6.9554207540906521E-2</c:v>
                </c:pt>
                <c:pt idx="22">
                  <c:v>6.9554207540906521E-2</c:v>
                </c:pt>
                <c:pt idx="23">
                  <c:v>6.9554207540906521E-2</c:v>
                </c:pt>
                <c:pt idx="24">
                  <c:v>6.9554207540906535E-2</c:v>
                </c:pt>
                <c:pt idx="25">
                  <c:v>0.10997485833866186</c:v>
                </c:pt>
                <c:pt idx="26">
                  <c:v>0.10997485833866186</c:v>
                </c:pt>
                <c:pt idx="27">
                  <c:v>0.10997485833866186</c:v>
                </c:pt>
                <c:pt idx="28">
                  <c:v>0.10997485833866186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90F-9A46-A390-F056CB88F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956368"/>
        <c:axId val="352958080"/>
      </c:scatterChart>
      <c:valAx>
        <c:axId val="352956368"/>
        <c:scaling>
          <c:orientation val="minMax"/>
          <c:max val="16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 b="0">
                    <a:solidFill>
                      <a:schemeClr val="tx1"/>
                    </a:solidFill>
                  </a:rPr>
                  <a:t>Reynolds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958080"/>
        <c:crossesAt val="1E-3"/>
        <c:crossBetween val="midCat"/>
      </c:valAx>
      <c:valAx>
        <c:axId val="352958080"/>
        <c:scaling>
          <c:logBase val="10"/>
          <c:orientation val="minMax"/>
          <c:max val="10"/>
          <c:min val="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>
                    <a:solidFill>
                      <a:schemeClr val="tx1"/>
                    </a:solidFill>
                  </a:rPr>
                  <a:t>Ohnesorge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out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956368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914559075538596"/>
          <c:y val="5.0299403569211351E-2"/>
          <c:w val="0.17007395183634189"/>
          <c:h val="0.740119748225741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23A3EC-1698-7441-AACF-657096711A05}">
  <sheetPr/>
  <sheetViews>
    <sheetView zoomScale="13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2A5F8B-AD6A-D747-83C1-68FC7A55CEB7}">
  <sheetPr/>
  <sheetViews>
    <sheetView zoomScale="130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4AE8D99-4BB6-1C43-B09F-DD69AE8EA41B}">
  <sheetPr/>
  <sheetViews>
    <sheetView zoomScale="13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E230B9-14AE-9A30-3C54-03B61B8189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55F392-9DA5-530D-BAE2-F4F4477811B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638254</xdr:colOff>
      <xdr:row>3</xdr:row>
      <xdr:rowOff>4070</xdr:rowOff>
    </xdr:from>
    <xdr:to>
      <xdr:col>19</xdr:col>
      <xdr:colOff>440429</xdr:colOff>
      <xdr:row>20</xdr:row>
      <xdr:rowOff>148166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F49D9-2E1F-B143-84B6-37A8B29F8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906095</xdr:colOff>
      <xdr:row>13</xdr:row>
      <xdr:rowOff>50103</xdr:rowOff>
    </xdr:from>
    <xdr:to>
      <xdr:col>5</xdr:col>
      <xdr:colOff>265545</xdr:colOff>
      <xdr:row>31</xdr:row>
      <xdr:rowOff>166963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577620-18E9-914F-B9F3-ED081D126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547077</xdr:colOff>
      <xdr:row>3</xdr:row>
      <xdr:rowOff>14654</xdr:rowOff>
    </xdr:from>
    <xdr:to>
      <xdr:col>26</xdr:col>
      <xdr:colOff>507186</xdr:colOff>
      <xdr:row>20</xdr:row>
      <xdr:rowOff>149226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FDE6CD-CE3A-3847-9278-2087DBECA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371230</xdr:colOff>
      <xdr:row>21</xdr:row>
      <xdr:rowOff>136770</xdr:rowOff>
    </xdr:from>
    <xdr:to>
      <xdr:col>19</xdr:col>
      <xdr:colOff>547077</xdr:colOff>
      <xdr:row>44</xdr:row>
      <xdr:rowOff>140840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829C52-F997-9C41-8205-A36C35BF3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605692</xdr:colOff>
      <xdr:row>21</xdr:row>
      <xdr:rowOff>87925</xdr:rowOff>
    </xdr:from>
    <xdr:to>
      <xdr:col>27</xdr:col>
      <xdr:colOff>107461</xdr:colOff>
      <xdr:row>44</xdr:row>
      <xdr:rowOff>91995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DD58AB-3DDB-E344-9F4A-C3BFE4CDF0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0</xdr:colOff>
      <xdr:row>3</xdr:row>
      <xdr:rowOff>0</xdr:rowOff>
    </xdr:from>
    <xdr:to>
      <xdr:col>33</xdr:col>
      <xdr:colOff>634187</xdr:colOff>
      <xdr:row>20</xdr:row>
      <xdr:rowOff>134572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BFC562-078E-F049-AAAC-EEEEB5EED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0</xdr:colOff>
      <xdr:row>3</xdr:row>
      <xdr:rowOff>0</xdr:rowOff>
    </xdr:from>
    <xdr:to>
      <xdr:col>40</xdr:col>
      <xdr:colOff>634187</xdr:colOff>
      <xdr:row>20</xdr:row>
      <xdr:rowOff>134572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BA7F4F-1F32-7747-BD3C-B52586F57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7865" cy="606669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BBDC9A-04F4-FB2B-087E-2B78940706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CF30-C83A-4E7E-90D7-BC1A2DAED9FE}">
  <dimension ref="A1:P842"/>
  <sheetViews>
    <sheetView tabSelected="1" zoomScale="82" zoomScaleNormal="82" workbookViewId="0">
      <pane ySplit="2" topLeftCell="A361" activePane="bottomLeft" state="frozen"/>
      <selection pane="bottomLeft" activeCell="P374" sqref="P374"/>
    </sheetView>
  </sheetViews>
  <sheetFormatPr baseColWidth="10" defaultColWidth="8.83203125" defaultRowHeight="15"/>
  <cols>
    <col min="1" max="1" width="12" customWidth="1"/>
    <col min="2" max="2" width="20.6640625" customWidth="1"/>
    <col min="3" max="3" width="14" style="14" customWidth="1"/>
    <col min="4" max="4" width="12.33203125" customWidth="1"/>
    <col min="5" max="5" width="12.1640625" style="26" customWidth="1"/>
    <col min="6" max="6" width="13.33203125" customWidth="1"/>
    <col min="7" max="7" width="13.83203125" style="27" customWidth="1"/>
    <col min="8" max="8" width="17" style="24" customWidth="1"/>
    <col min="9" max="9" width="13.33203125" style="25" customWidth="1"/>
    <col min="10" max="10" width="8.83203125" style="24"/>
    <col min="11" max="11" width="8.83203125" style="14"/>
    <col min="12" max="13" width="8.83203125" style="27"/>
    <col min="14" max="14" width="8.83203125" style="4"/>
    <col min="15" max="15" width="8.83203125" style="20"/>
  </cols>
  <sheetData>
    <row r="1" spans="1:16" s="49" customFormat="1" ht="34" customHeight="1">
      <c r="A1" s="48" t="s">
        <v>552</v>
      </c>
    </row>
    <row r="2" spans="1:16" ht="48">
      <c r="A2" s="3" t="s">
        <v>0</v>
      </c>
      <c r="B2" s="3" t="s">
        <v>1</v>
      </c>
      <c r="C2" s="21" t="s">
        <v>665</v>
      </c>
      <c r="D2" s="5" t="s">
        <v>2</v>
      </c>
      <c r="E2" s="31" t="s">
        <v>36</v>
      </c>
      <c r="F2" s="5" t="s">
        <v>37</v>
      </c>
      <c r="G2" s="31" t="s">
        <v>528</v>
      </c>
      <c r="H2" s="38" t="s">
        <v>529</v>
      </c>
      <c r="I2" s="34" t="s">
        <v>530</v>
      </c>
      <c r="J2" s="38" t="s">
        <v>531</v>
      </c>
      <c r="K2" s="29" t="s">
        <v>548</v>
      </c>
      <c r="L2" s="31" t="s">
        <v>549</v>
      </c>
      <c r="M2" s="31" t="s">
        <v>550</v>
      </c>
      <c r="N2" s="15" t="s">
        <v>551</v>
      </c>
      <c r="O2" s="19" t="s">
        <v>553</v>
      </c>
      <c r="P2" t="s">
        <v>925</v>
      </c>
    </row>
    <row r="3" spans="1:16">
      <c r="A3" t="s">
        <v>3</v>
      </c>
      <c r="B3" s="1" t="s">
        <v>35</v>
      </c>
      <c r="C3" s="14">
        <v>1.37</v>
      </c>
      <c r="D3">
        <v>500</v>
      </c>
      <c r="E3" s="26">
        <v>1350</v>
      </c>
      <c r="F3">
        <v>1248</v>
      </c>
      <c r="G3" s="27">
        <v>62.8</v>
      </c>
      <c r="H3" s="24">
        <f>(4/60*F3*D3*10^(-9))/(PI()*C3*E3*10^(-6))</f>
        <v>7.1596059828308682E-3</v>
      </c>
      <c r="I3" s="25">
        <f>(16 * F3 * (D3 * 10^-9 / 60)^2) / (PI()^2 * (C3 * 10^-3)^3 * (G3 * 10^-3))</f>
        <v>8.7006357081050153E-4</v>
      </c>
      <c r="J3" s="24">
        <f>SQRT(I3)/H3</f>
        <v>4.1198971123156687</v>
      </c>
      <c r="K3" s="14">
        <v>1.8</v>
      </c>
      <c r="L3" s="27">
        <v>27.63</v>
      </c>
      <c r="M3" s="23">
        <v>3.06</v>
      </c>
      <c r="N3" s="4">
        <f>L3/M3</f>
        <v>9.0294117647058822</v>
      </c>
      <c r="O3" s="20">
        <f>L3/C3</f>
        <v>20.167883211678831</v>
      </c>
      <c r="P3">
        <f>F3*M3*M3*9.8/G3</f>
        <v>1823.576010191083</v>
      </c>
    </row>
    <row r="4" spans="1:16">
      <c r="A4" t="s">
        <v>4</v>
      </c>
      <c r="B4" s="1" t="s">
        <v>35</v>
      </c>
      <c r="C4" s="14">
        <v>1.37</v>
      </c>
      <c r="D4">
        <v>250</v>
      </c>
      <c r="E4" s="26">
        <v>1350</v>
      </c>
      <c r="F4">
        <v>1248</v>
      </c>
      <c r="G4" s="27">
        <v>62.8</v>
      </c>
      <c r="H4" s="24">
        <f t="shared" ref="H4:H56" si="0">(4/60*F4*D4*10^(-9))/(PI()*C4*E4*10^(-6))</f>
        <v>3.5798029914154341E-3</v>
      </c>
      <c r="I4" s="25">
        <f t="shared" ref="I4:I56" si="1">(16 * F4 * (D4 * 10^-9 / 60)^2) / (PI()^2 * (C4 * 10^-3)^3 * (G4 * 10^-3))</f>
        <v>2.1751589270262538E-4</v>
      </c>
      <c r="J4" s="24">
        <f t="shared" ref="J4:J67" si="2">SQRT(I4)/H4</f>
        <v>4.1198971123156687</v>
      </c>
      <c r="K4" s="14">
        <v>1.8</v>
      </c>
      <c r="L4" s="27">
        <v>22.24</v>
      </c>
      <c r="M4" s="23">
        <v>3.08</v>
      </c>
      <c r="N4" s="4">
        <f t="shared" ref="N4:N67" si="3">L4/M4</f>
        <v>7.2207792207792201</v>
      </c>
      <c r="O4" s="20">
        <f t="shared" ref="O4:O67" si="4">L4/C4</f>
        <v>16.233576642335763</v>
      </c>
      <c r="P4">
        <f t="shared" ref="P4:P67" si="5">F4*M4*M4*9.8/G4</f>
        <v>1847.4915057324845</v>
      </c>
    </row>
    <row r="5" spans="1:16">
      <c r="A5" t="s">
        <v>5</v>
      </c>
      <c r="B5" s="1" t="s">
        <v>35</v>
      </c>
      <c r="C5" s="14">
        <v>1.37</v>
      </c>
      <c r="D5">
        <v>100</v>
      </c>
      <c r="E5" s="26">
        <v>1350</v>
      </c>
      <c r="F5">
        <v>1248</v>
      </c>
      <c r="G5" s="27">
        <v>62.8</v>
      </c>
      <c r="H5" s="24">
        <f t="shared" si="0"/>
        <v>1.4319211965661736E-3</v>
      </c>
      <c r="I5" s="25">
        <f t="shared" si="1"/>
        <v>3.4802542832420056E-5</v>
      </c>
      <c r="J5" s="24">
        <f t="shared" si="2"/>
        <v>4.1198971123156687</v>
      </c>
      <c r="K5" s="14">
        <v>1.8</v>
      </c>
      <c r="L5" s="27">
        <v>18.38</v>
      </c>
      <c r="M5" s="23">
        <v>3.17</v>
      </c>
      <c r="N5" s="4">
        <f t="shared" si="3"/>
        <v>5.7981072555205042</v>
      </c>
      <c r="O5" s="20">
        <f t="shared" si="4"/>
        <v>13.416058394160583</v>
      </c>
      <c r="P5">
        <f t="shared" si="5"/>
        <v>1957.0392764331209</v>
      </c>
    </row>
    <row r="6" spans="1:16">
      <c r="A6" t="s">
        <v>6</v>
      </c>
      <c r="B6" s="1" t="s">
        <v>35</v>
      </c>
      <c r="C6" s="14">
        <v>1.37</v>
      </c>
      <c r="D6">
        <v>50</v>
      </c>
      <c r="E6" s="26">
        <v>1350</v>
      </c>
      <c r="F6">
        <v>1248</v>
      </c>
      <c r="G6" s="27">
        <v>62.8</v>
      </c>
      <c r="H6" s="24">
        <f t="shared" si="0"/>
        <v>7.1596059828308678E-4</v>
      </c>
      <c r="I6" s="25">
        <f t="shared" si="1"/>
        <v>8.700635708105014E-6</v>
      </c>
      <c r="J6" s="24">
        <f t="shared" si="2"/>
        <v>4.1198971123156687</v>
      </c>
      <c r="K6" s="14">
        <v>1.8</v>
      </c>
      <c r="L6" s="27">
        <v>16.16</v>
      </c>
      <c r="M6" s="23">
        <v>3.21</v>
      </c>
      <c r="N6" s="4">
        <f t="shared" si="3"/>
        <v>5.0342679127725853</v>
      </c>
      <c r="O6" s="20">
        <f t="shared" si="4"/>
        <v>11.795620437956204</v>
      </c>
      <c r="P6">
        <f t="shared" si="5"/>
        <v>2006.739882802548</v>
      </c>
    </row>
    <row r="7" spans="1:16">
      <c r="A7" t="s">
        <v>7</v>
      </c>
      <c r="B7" s="1" t="s">
        <v>35</v>
      </c>
      <c r="C7" s="14">
        <v>1.37</v>
      </c>
      <c r="D7">
        <v>25</v>
      </c>
      <c r="E7" s="26">
        <v>1350</v>
      </c>
      <c r="F7">
        <v>1248</v>
      </c>
      <c r="G7" s="27">
        <v>62.8</v>
      </c>
      <c r="H7" s="24">
        <f t="shared" si="0"/>
        <v>3.5798029914154339E-4</v>
      </c>
      <c r="I7" s="25">
        <f t="shared" si="1"/>
        <v>2.1751589270262535E-6</v>
      </c>
      <c r="J7" s="24">
        <f t="shared" si="2"/>
        <v>4.1198971123156687</v>
      </c>
      <c r="K7" s="14">
        <v>1.8</v>
      </c>
      <c r="L7" s="27">
        <v>16.96</v>
      </c>
      <c r="M7" s="23">
        <v>3.1</v>
      </c>
      <c r="N7" s="4">
        <f t="shared" si="3"/>
        <v>5.4709677419354836</v>
      </c>
      <c r="O7" s="20">
        <f t="shared" si="4"/>
        <v>12.37956204379562</v>
      </c>
      <c r="P7">
        <f t="shared" si="5"/>
        <v>1871.5628025477711</v>
      </c>
    </row>
    <row r="8" spans="1:16">
      <c r="A8" t="s">
        <v>8</v>
      </c>
      <c r="B8" s="1" t="s">
        <v>35</v>
      </c>
      <c r="C8" s="14">
        <v>1.37</v>
      </c>
      <c r="D8">
        <v>500</v>
      </c>
      <c r="E8" s="26">
        <v>1350</v>
      </c>
      <c r="F8">
        <v>1248</v>
      </c>
      <c r="G8" s="27">
        <v>62.8</v>
      </c>
      <c r="H8" s="24">
        <f t="shared" si="0"/>
        <v>7.1596059828308682E-3</v>
      </c>
      <c r="I8" s="25">
        <f t="shared" si="1"/>
        <v>8.7006357081050153E-4</v>
      </c>
      <c r="J8" s="24">
        <f t="shared" si="2"/>
        <v>4.1198971123156687</v>
      </c>
      <c r="K8" s="14">
        <v>1.8</v>
      </c>
      <c r="L8" s="27">
        <v>25.06</v>
      </c>
      <c r="M8" s="23">
        <v>3.08</v>
      </c>
      <c r="N8" s="4">
        <f t="shared" si="3"/>
        <v>8.1363636363636349</v>
      </c>
      <c r="O8" s="20">
        <f t="shared" si="4"/>
        <v>18.291970802919707</v>
      </c>
      <c r="P8">
        <f t="shared" si="5"/>
        <v>1847.4915057324845</v>
      </c>
    </row>
    <row r="9" spans="1:16">
      <c r="A9" t="s">
        <v>9</v>
      </c>
      <c r="B9" s="1" t="s">
        <v>35</v>
      </c>
      <c r="C9" s="14">
        <v>1.37</v>
      </c>
      <c r="D9">
        <v>250</v>
      </c>
      <c r="E9" s="26">
        <v>1350</v>
      </c>
      <c r="F9">
        <v>1248</v>
      </c>
      <c r="G9" s="27">
        <v>62.8</v>
      </c>
      <c r="H9" s="24">
        <f t="shared" si="0"/>
        <v>3.5798029914154341E-3</v>
      </c>
      <c r="I9" s="25">
        <f t="shared" si="1"/>
        <v>2.1751589270262538E-4</v>
      </c>
      <c r="J9" s="24">
        <f t="shared" si="2"/>
        <v>4.1198971123156687</v>
      </c>
      <c r="K9" s="14">
        <v>1.8</v>
      </c>
      <c r="L9" s="27">
        <v>23.57</v>
      </c>
      <c r="M9" s="23">
        <v>3.05</v>
      </c>
      <c r="N9" s="4">
        <f t="shared" si="3"/>
        <v>7.7278688524590171</v>
      </c>
      <c r="O9" s="20">
        <f t="shared" si="4"/>
        <v>17.204379562043794</v>
      </c>
      <c r="P9">
        <f t="shared" si="5"/>
        <v>1811.6766878980891</v>
      </c>
    </row>
    <row r="10" spans="1:16">
      <c r="A10" t="s">
        <v>10</v>
      </c>
      <c r="B10" s="1" t="s">
        <v>35</v>
      </c>
      <c r="C10" s="14">
        <v>1.37</v>
      </c>
      <c r="D10">
        <v>100</v>
      </c>
      <c r="E10" s="26">
        <v>1350</v>
      </c>
      <c r="F10">
        <v>1248</v>
      </c>
      <c r="G10" s="27">
        <v>62.8</v>
      </c>
      <c r="H10" s="24">
        <f t="shared" si="0"/>
        <v>1.4319211965661736E-3</v>
      </c>
      <c r="I10" s="25">
        <f t="shared" si="1"/>
        <v>3.4802542832420056E-5</v>
      </c>
      <c r="J10" s="24">
        <f t="shared" si="2"/>
        <v>4.1198971123156687</v>
      </c>
      <c r="K10" s="14">
        <v>1.8</v>
      </c>
      <c r="L10" s="27">
        <v>19.420000000000002</v>
      </c>
      <c r="M10" s="23">
        <v>3.11</v>
      </c>
      <c r="N10" s="4">
        <f t="shared" si="3"/>
        <v>6.2443729903536989</v>
      </c>
      <c r="O10" s="20">
        <f t="shared" si="4"/>
        <v>14.175182481751825</v>
      </c>
      <c r="P10">
        <f t="shared" si="5"/>
        <v>1883.6568764331209</v>
      </c>
    </row>
    <row r="11" spans="1:16">
      <c r="A11" t="s">
        <v>11</v>
      </c>
      <c r="B11" s="1" t="s">
        <v>35</v>
      </c>
      <c r="C11" s="14">
        <v>1.37</v>
      </c>
      <c r="D11">
        <v>50</v>
      </c>
      <c r="E11" s="26">
        <v>1350</v>
      </c>
      <c r="F11">
        <v>1248</v>
      </c>
      <c r="G11" s="27">
        <v>62.8</v>
      </c>
      <c r="H11" s="24">
        <f t="shared" si="0"/>
        <v>7.1596059828308678E-4</v>
      </c>
      <c r="I11" s="25">
        <f t="shared" si="1"/>
        <v>8.700635708105014E-6</v>
      </c>
      <c r="J11" s="24">
        <f t="shared" si="2"/>
        <v>4.1198971123156687</v>
      </c>
      <c r="K11" s="14">
        <v>1.8</v>
      </c>
      <c r="L11" s="27">
        <v>19.989999999999998</v>
      </c>
      <c r="M11" s="23">
        <v>3.11</v>
      </c>
      <c r="N11" s="4">
        <f t="shared" si="3"/>
        <v>6.427652733118971</v>
      </c>
      <c r="O11" s="20">
        <f t="shared" si="4"/>
        <v>14.591240875912407</v>
      </c>
      <c r="P11">
        <f t="shared" si="5"/>
        <v>1883.6568764331209</v>
      </c>
    </row>
    <row r="12" spans="1:16">
      <c r="A12" t="s">
        <v>12</v>
      </c>
      <c r="B12" s="1" t="s">
        <v>35</v>
      </c>
      <c r="C12" s="14">
        <v>0.83</v>
      </c>
      <c r="D12">
        <v>500</v>
      </c>
      <c r="E12" s="26">
        <v>1350</v>
      </c>
      <c r="F12">
        <v>1248</v>
      </c>
      <c r="G12" s="27">
        <v>62.8</v>
      </c>
      <c r="H12" s="24">
        <f t="shared" si="0"/>
        <v>1.1817662887323242E-2</v>
      </c>
      <c r="I12" s="25">
        <f t="shared" si="1"/>
        <v>3.9127167511578548E-3</v>
      </c>
      <c r="J12" s="24">
        <f t="shared" si="2"/>
        <v>5.2930696375511621</v>
      </c>
      <c r="K12" s="14">
        <v>1.27</v>
      </c>
      <c r="L12" s="27">
        <v>13.23</v>
      </c>
      <c r="M12" s="23">
        <v>2.89</v>
      </c>
      <c r="N12" s="4">
        <f t="shared" si="3"/>
        <v>4.577854671280277</v>
      </c>
      <c r="O12" s="20">
        <f t="shared" si="4"/>
        <v>15.939759036144579</v>
      </c>
      <c r="P12">
        <f t="shared" si="5"/>
        <v>1626.5847745222934</v>
      </c>
    </row>
    <row r="13" spans="1:16">
      <c r="A13" t="s">
        <v>13</v>
      </c>
      <c r="B13" s="1" t="s">
        <v>35</v>
      </c>
      <c r="C13" s="14">
        <v>0.83</v>
      </c>
      <c r="D13">
        <v>250</v>
      </c>
      <c r="E13" s="26">
        <v>1350</v>
      </c>
      <c r="F13">
        <v>1248</v>
      </c>
      <c r="G13" s="27">
        <v>62.8</v>
      </c>
      <c r="H13" s="24">
        <f t="shared" si="0"/>
        <v>5.9088314436616211E-3</v>
      </c>
      <c r="I13" s="25">
        <f t="shared" si="1"/>
        <v>9.7817918778946369E-4</v>
      </c>
      <c r="J13" s="24">
        <f t="shared" si="2"/>
        <v>5.2930696375511621</v>
      </c>
      <c r="K13" s="14">
        <v>1.27</v>
      </c>
      <c r="L13" s="27">
        <v>11.05</v>
      </c>
      <c r="M13" s="23">
        <v>2.93</v>
      </c>
      <c r="N13" s="4">
        <f t="shared" si="3"/>
        <v>3.7713310580204777</v>
      </c>
      <c r="O13" s="20">
        <f t="shared" si="4"/>
        <v>13.313253012048195</v>
      </c>
      <c r="P13">
        <f t="shared" si="5"/>
        <v>1671.9229452229304</v>
      </c>
    </row>
    <row r="14" spans="1:16">
      <c r="A14" t="s">
        <v>14</v>
      </c>
      <c r="B14" s="1" t="s">
        <v>35</v>
      </c>
      <c r="C14" s="14">
        <v>0.83</v>
      </c>
      <c r="D14">
        <v>100</v>
      </c>
      <c r="E14" s="26">
        <v>1350</v>
      </c>
      <c r="F14">
        <v>1248</v>
      </c>
      <c r="G14" s="27">
        <v>62.8</v>
      </c>
      <c r="H14" s="24">
        <f t="shared" si="0"/>
        <v>2.3635325774646484E-3</v>
      </c>
      <c r="I14" s="25">
        <f t="shared" si="1"/>
        <v>1.5650867004631414E-4</v>
      </c>
      <c r="J14" s="24">
        <f t="shared" si="2"/>
        <v>5.2930696375511612</v>
      </c>
      <c r="K14" s="14">
        <v>1.27</v>
      </c>
      <c r="L14" s="27">
        <v>11.06</v>
      </c>
      <c r="M14" s="23">
        <v>2.86</v>
      </c>
      <c r="N14" s="4">
        <f t="shared" si="3"/>
        <v>3.8671328671328675</v>
      </c>
      <c r="O14" s="20">
        <f t="shared" si="4"/>
        <v>13.325301204819278</v>
      </c>
      <c r="P14">
        <f t="shared" si="5"/>
        <v>1592.9901248407643</v>
      </c>
    </row>
    <row r="15" spans="1:16">
      <c r="A15" t="s">
        <v>15</v>
      </c>
      <c r="B15" s="1" t="s">
        <v>35</v>
      </c>
      <c r="C15" s="14">
        <v>0.83</v>
      </c>
      <c r="D15">
        <v>50</v>
      </c>
      <c r="E15" s="26">
        <v>1350</v>
      </c>
      <c r="F15">
        <v>1248</v>
      </c>
      <c r="G15" s="27">
        <v>62.8</v>
      </c>
      <c r="H15" s="24">
        <f t="shared" si="0"/>
        <v>1.1817662887323242E-3</v>
      </c>
      <c r="I15" s="25">
        <f t="shared" si="1"/>
        <v>3.9127167511578535E-5</v>
      </c>
      <c r="J15" s="24">
        <f t="shared" si="2"/>
        <v>5.2930696375511612</v>
      </c>
      <c r="K15" s="14">
        <v>1.27</v>
      </c>
      <c r="L15" s="27">
        <v>9.4600000000000009</v>
      </c>
      <c r="M15" s="23">
        <v>2.83</v>
      </c>
      <c r="N15" s="4">
        <f t="shared" si="3"/>
        <v>3.3427561837455833</v>
      </c>
      <c r="O15" s="20">
        <f t="shared" si="4"/>
        <v>11.397590361445785</v>
      </c>
      <c r="P15">
        <f t="shared" si="5"/>
        <v>1559.7460280254782</v>
      </c>
    </row>
    <row r="16" spans="1:16">
      <c r="A16" t="s">
        <v>16</v>
      </c>
      <c r="B16" s="1" t="s">
        <v>35</v>
      </c>
      <c r="C16" s="14">
        <v>0.83</v>
      </c>
      <c r="D16">
        <v>500</v>
      </c>
      <c r="E16" s="26">
        <v>1350</v>
      </c>
      <c r="F16">
        <v>1248</v>
      </c>
      <c r="G16" s="27">
        <v>62.8</v>
      </c>
      <c r="H16" s="24">
        <f t="shared" si="0"/>
        <v>1.1817662887323242E-2</v>
      </c>
      <c r="I16" s="25">
        <f t="shared" si="1"/>
        <v>3.9127167511578548E-3</v>
      </c>
      <c r="J16" s="24">
        <f t="shared" si="2"/>
        <v>5.2930696375511621</v>
      </c>
      <c r="K16" s="14">
        <v>1.27</v>
      </c>
      <c r="L16" s="27">
        <v>11.83</v>
      </c>
      <c r="M16" s="23">
        <v>2.78</v>
      </c>
      <c r="N16" s="4">
        <f t="shared" si="3"/>
        <v>4.255395683453238</v>
      </c>
      <c r="O16" s="20">
        <f t="shared" si="4"/>
        <v>14.253012048192772</v>
      </c>
      <c r="P16">
        <f t="shared" si="5"/>
        <v>1505.1182063694266</v>
      </c>
    </row>
    <row r="17" spans="1:16">
      <c r="A17" t="s">
        <v>17</v>
      </c>
      <c r="B17" s="1" t="s">
        <v>35</v>
      </c>
      <c r="C17" s="14">
        <v>0.83</v>
      </c>
      <c r="D17">
        <v>250</v>
      </c>
      <c r="E17" s="26">
        <v>1350</v>
      </c>
      <c r="F17">
        <v>1248</v>
      </c>
      <c r="G17" s="27">
        <v>62.8</v>
      </c>
      <c r="H17" s="24">
        <f t="shared" si="0"/>
        <v>5.9088314436616211E-3</v>
      </c>
      <c r="I17" s="25">
        <f t="shared" si="1"/>
        <v>9.7817918778946369E-4</v>
      </c>
      <c r="J17" s="24">
        <f t="shared" si="2"/>
        <v>5.2930696375511621</v>
      </c>
      <c r="K17" s="14">
        <v>1.27</v>
      </c>
      <c r="L17" s="27">
        <v>10.57</v>
      </c>
      <c r="M17" s="23">
        <v>2.8</v>
      </c>
      <c r="N17" s="4">
        <f t="shared" si="3"/>
        <v>3.7750000000000004</v>
      </c>
      <c r="O17" s="20">
        <f t="shared" si="4"/>
        <v>12.734939759036145</v>
      </c>
      <c r="P17">
        <f t="shared" si="5"/>
        <v>1526.8524840764328</v>
      </c>
    </row>
    <row r="18" spans="1:16">
      <c r="A18" t="s">
        <v>18</v>
      </c>
      <c r="B18" s="1" t="s">
        <v>35</v>
      </c>
      <c r="C18" s="14">
        <v>0.83</v>
      </c>
      <c r="D18">
        <v>100</v>
      </c>
      <c r="E18" s="26">
        <v>1350</v>
      </c>
      <c r="F18">
        <v>1248</v>
      </c>
      <c r="G18" s="27">
        <v>62.8</v>
      </c>
      <c r="H18" s="24">
        <f t="shared" si="0"/>
        <v>2.3635325774646484E-3</v>
      </c>
      <c r="I18" s="25">
        <f t="shared" si="1"/>
        <v>1.5650867004631414E-4</v>
      </c>
      <c r="J18" s="24">
        <f t="shared" si="2"/>
        <v>5.2930696375511612</v>
      </c>
      <c r="K18" s="14">
        <v>1.27</v>
      </c>
      <c r="L18" s="27">
        <v>9.52</v>
      </c>
      <c r="M18" s="23">
        <v>3.02</v>
      </c>
      <c r="N18" s="4">
        <f t="shared" si="3"/>
        <v>3.1523178807947017</v>
      </c>
      <c r="O18" s="20">
        <f t="shared" si="4"/>
        <v>11.46987951807229</v>
      </c>
      <c r="P18">
        <f t="shared" si="5"/>
        <v>1776.2124229299366</v>
      </c>
    </row>
    <row r="19" spans="1:16">
      <c r="A19" t="s">
        <v>19</v>
      </c>
      <c r="B19" s="1" t="s">
        <v>35</v>
      </c>
      <c r="C19" s="14">
        <v>0.25</v>
      </c>
      <c r="D19">
        <v>500</v>
      </c>
      <c r="E19" s="26">
        <v>1350</v>
      </c>
      <c r="F19">
        <v>1248</v>
      </c>
      <c r="G19" s="27">
        <v>62.8</v>
      </c>
      <c r="H19" s="24">
        <f t="shared" si="0"/>
        <v>3.9234640785913162E-2</v>
      </c>
      <c r="I19" s="25">
        <f t="shared" si="1"/>
        <v>0.14318339667163496</v>
      </c>
      <c r="J19" s="24">
        <f>SQRT(I19)/H19</f>
        <v>9.6444318725390499</v>
      </c>
      <c r="K19" s="14">
        <v>0.51</v>
      </c>
      <c r="L19" s="27">
        <v>3.36</v>
      </c>
      <c r="M19" s="23">
        <v>2.29</v>
      </c>
      <c r="N19" s="4">
        <f t="shared" si="3"/>
        <v>1.4672489082969431</v>
      </c>
      <c r="O19" s="20">
        <f t="shared" si="4"/>
        <v>13.44</v>
      </c>
      <c r="P19">
        <f t="shared" si="5"/>
        <v>1021.2968254777072</v>
      </c>
    </row>
    <row r="20" spans="1:16">
      <c r="A20" t="s">
        <v>20</v>
      </c>
      <c r="B20" s="1" t="s">
        <v>35</v>
      </c>
      <c r="C20" s="14">
        <v>0.25</v>
      </c>
      <c r="D20">
        <v>1000</v>
      </c>
      <c r="E20" s="26">
        <v>1350</v>
      </c>
      <c r="F20">
        <v>1248</v>
      </c>
      <c r="G20" s="27">
        <v>62.8</v>
      </c>
      <c r="H20" s="24">
        <f t="shared" si="0"/>
        <v>7.8469281571826324E-2</v>
      </c>
      <c r="I20" s="25">
        <f t="shared" si="1"/>
        <v>0.57273358668653984</v>
      </c>
      <c r="J20" s="24">
        <f t="shared" si="2"/>
        <v>9.6444318725390499</v>
      </c>
      <c r="K20" s="14">
        <v>0.51</v>
      </c>
      <c r="L20" s="27">
        <v>3.21</v>
      </c>
      <c r="M20" s="23">
        <v>2.39</v>
      </c>
      <c r="N20" s="4">
        <f t="shared" si="3"/>
        <v>1.3430962343096233</v>
      </c>
      <c r="O20" s="20">
        <f t="shared" si="4"/>
        <v>12.84</v>
      </c>
      <c r="P20">
        <f t="shared" si="5"/>
        <v>1112.4405707006372</v>
      </c>
    </row>
    <row r="21" spans="1:16">
      <c r="A21" s="16" t="s">
        <v>21</v>
      </c>
      <c r="B21" s="17" t="s">
        <v>39</v>
      </c>
      <c r="C21" s="18">
        <v>1.37</v>
      </c>
      <c r="D21" s="16">
        <v>500</v>
      </c>
      <c r="E21" s="36">
        <v>6.8</v>
      </c>
      <c r="F21" s="16">
        <v>1082</v>
      </c>
      <c r="G21" s="32">
        <v>67.400000000000006</v>
      </c>
      <c r="H21" s="39">
        <f t="shared" si="0"/>
        <v>1.2323289568157345</v>
      </c>
      <c r="I21" s="35">
        <f t="shared" si="1"/>
        <v>7.0285122797241449E-4</v>
      </c>
      <c r="J21" s="39">
        <f t="shared" si="2"/>
        <v>2.1513201771659111E-2</v>
      </c>
      <c r="K21" s="18">
        <v>1.8</v>
      </c>
      <c r="L21" s="32">
        <v>6.47</v>
      </c>
      <c r="M21" s="33">
        <v>3.53</v>
      </c>
      <c r="N21" s="4">
        <f t="shared" si="3"/>
        <v>1.8328611898016998</v>
      </c>
      <c r="O21" s="20">
        <f t="shared" si="4"/>
        <v>4.7226277372262766</v>
      </c>
      <c r="P21">
        <f t="shared" si="5"/>
        <v>1960.3916801186938</v>
      </c>
    </row>
    <row r="22" spans="1:16">
      <c r="A22" s="16" t="s">
        <v>22</v>
      </c>
      <c r="B22" s="17" t="s">
        <v>39</v>
      </c>
      <c r="C22" s="18">
        <v>1.37</v>
      </c>
      <c r="D22" s="16">
        <v>250</v>
      </c>
      <c r="E22" s="36">
        <v>6.8</v>
      </c>
      <c r="F22" s="16">
        <v>1082</v>
      </c>
      <c r="G22" s="32">
        <v>67.400000000000006</v>
      </c>
      <c r="H22" s="39">
        <f t="shared" si="0"/>
        <v>0.61616447840786726</v>
      </c>
      <c r="I22" s="35">
        <f t="shared" si="1"/>
        <v>1.7571280699310362E-4</v>
      </c>
      <c r="J22" s="39">
        <f t="shared" si="2"/>
        <v>2.1513201771659111E-2</v>
      </c>
      <c r="K22" s="18">
        <v>1.8</v>
      </c>
      <c r="L22" s="32">
        <v>6.53</v>
      </c>
      <c r="M22" s="33">
        <v>3.53</v>
      </c>
      <c r="N22" s="4">
        <f t="shared" si="3"/>
        <v>1.84985835694051</v>
      </c>
      <c r="O22" s="20">
        <f t="shared" si="4"/>
        <v>4.766423357664233</v>
      </c>
      <c r="P22">
        <f t="shared" si="5"/>
        <v>1960.3916801186938</v>
      </c>
    </row>
    <row r="23" spans="1:16">
      <c r="A23" s="16" t="s">
        <v>23</v>
      </c>
      <c r="B23" s="17" t="s">
        <v>38</v>
      </c>
      <c r="C23" s="18">
        <v>1.37</v>
      </c>
      <c r="D23" s="16">
        <v>100</v>
      </c>
      <c r="E23" s="36">
        <v>6.8</v>
      </c>
      <c r="F23" s="16">
        <v>1082</v>
      </c>
      <c r="G23" s="32">
        <v>67.400000000000006</v>
      </c>
      <c r="H23" s="39">
        <f t="shared" si="0"/>
        <v>0.24646579136314689</v>
      </c>
      <c r="I23" s="35">
        <f t="shared" si="1"/>
        <v>2.8114049118896578E-5</v>
      </c>
      <c r="J23" s="39">
        <f t="shared" si="2"/>
        <v>2.1513201771659114E-2</v>
      </c>
      <c r="K23" s="18">
        <v>1.8</v>
      </c>
      <c r="L23" s="32">
        <v>6.48</v>
      </c>
      <c r="M23" s="33">
        <v>3.52</v>
      </c>
      <c r="N23" s="4">
        <f t="shared" si="3"/>
        <v>1.8409090909090911</v>
      </c>
      <c r="O23" s="20">
        <f t="shared" si="4"/>
        <v>4.7299270072992696</v>
      </c>
      <c r="P23">
        <f t="shared" si="5"/>
        <v>1949.3003774480712</v>
      </c>
    </row>
    <row r="24" spans="1:16">
      <c r="A24" s="16" t="s">
        <v>24</v>
      </c>
      <c r="B24" s="17" t="s">
        <v>38</v>
      </c>
      <c r="C24" s="18">
        <v>1.37</v>
      </c>
      <c r="D24" s="16">
        <v>50</v>
      </c>
      <c r="E24" s="36">
        <v>6.8</v>
      </c>
      <c r="F24" s="16">
        <v>1082</v>
      </c>
      <c r="G24" s="32">
        <v>67.400000000000006</v>
      </c>
      <c r="H24" s="39">
        <f t="shared" si="0"/>
        <v>0.12323289568157345</v>
      </c>
      <c r="I24" s="35">
        <f t="shared" si="1"/>
        <v>7.0285122797241444E-6</v>
      </c>
      <c r="J24" s="39">
        <f t="shared" si="2"/>
        <v>2.1513201771659114E-2</v>
      </c>
      <c r="K24" s="18">
        <v>1.8</v>
      </c>
      <c r="L24" s="32">
        <v>6.39</v>
      </c>
      <c r="M24" s="33">
        <v>3.47</v>
      </c>
      <c r="N24" s="4">
        <f t="shared" si="3"/>
        <v>1.8414985590778097</v>
      </c>
      <c r="O24" s="20">
        <f t="shared" si="4"/>
        <v>4.6642335766423351</v>
      </c>
      <c r="P24">
        <f t="shared" si="5"/>
        <v>1894.3158344213653</v>
      </c>
    </row>
    <row r="25" spans="1:16">
      <c r="A25" s="16" t="s">
        <v>25</v>
      </c>
      <c r="B25" s="17" t="s">
        <v>38</v>
      </c>
      <c r="C25" s="18">
        <v>0.83</v>
      </c>
      <c r="D25" s="16">
        <v>500</v>
      </c>
      <c r="E25" s="36">
        <v>6.8</v>
      </c>
      <c r="F25" s="16">
        <v>1082</v>
      </c>
      <c r="G25" s="32">
        <v>67.400000000000006</v>
      </c>
      <c r="H25" s="39">
        <f t="shared" si="0"/>
        <v>2.0340851455874178</v>
      </c>
      <c r="I25" s="35">
        <f t="shared" si="1"/>
        <v>3.1607549902333428E-3</v>
      </c>
      <c r="J25" s="39">
        <f t="shared" si="2"/>
        <v>2.7639252146293852E-2</v>
      </c>
      <c r="K25" s="18">
        <v>1.27</v>
      </c>
      <c r="L25" s="32">
        <v>5.1100000000000003</v>
      </c>
      <c r="M25" s="33">
        <v>3.31</v>
      </c>
      <c r="N25" s="4">
        <f t="shared" si="3"/>
        <v>1.5438066465256799</v>
      </c>
      <c r="O25" s="20">
        <f t="shared" si="4"/>
        <v>6.1566265060240974</v>
      </c>
      <c r="P25">
        <f t="shared" si="5"/>
        <v>1723.6513643916915</v>
      </c>
    </row>
    <row r="26" spans="1:16">
      <c r="A26" s="16" t="s">
        <v>26</v>
      </c>
      <c r="B26" s="17" t="s">
        <v>39</v>
      </c>
      <c r="C26" s="18">
        <v>0.83</v>
      </c>
      <c r="D26" s="16">
        <v>250</v>
      </c>
      <c r="E26" s="36">
        <v>6.8</v>
      </c>
      <c r="F26" s="16">
        <v>1082</v>
      </c>
      <c r="G26" s="32">
        <v>67.400000000000006</v>
      </c>
      <c r="H26" s="39">
        <f t="shared" si="0"/>
        <v>1.0170425727937089</v>
      </c>
      <c r="I26" s="35">
        <f t="shared" si="1"/>
        <v>7.901887475583357E-4</v>
      </c>
      <c r="J26" s="39">
        <f t="shared" si="2"/>
        <v>2.7639252146293852E-2</v>
      </c>
      <c r="K26" s="18">
        <v>1.27</v>
      </c>
      <c r="L26" s="32">
        <v>5.05</v>
      </c>
      <c r="M26" s="33">
        <v>3.29</v>
      </c>
      <c r="N26" s="4">
        <f t="shared" si="3"/>
        <v>1.5349544072948327</v>
      </c>
      <c r="O26" s="20">
        <f t="shared" si="4"/>
        <v>6.0843373493975905</v>
      </c>
      <c r="P26">
        <f t="shared" si="5"/>
        <v>1702.8846700296735</v>
      </c>
    </row>
    <row r="27" spans="1:16">
      <c r="A27" s="16" t="s">
        <v>27</v>
      </c>
      <c r="B27" s="17" t="s">
        <v>38</v>
      </c>
      <c r="C27" s="18">
        <v>0.83</v>
      </c>
      <c r="D27" s="16">
        <v>100</v>
      </c>
      <c r="E27" s="36">
        <v>6.8</v>
      </c>
      <c r="F27" s="16">
        <v>1082</v>
      </c>
      <c r="G27" s="32">
        <v>67.400000000000006</v>
      </c>
      <c r="H27" s="39">
        <f t="shared" si="0"/>
        <v>0.40681702911748352</v>
      </c>
      <c r="I27" s="35">
        <f t="shared" si="1"/>
        <v>1.2643019960933369E-4</v>
      </c>
      <c r="J27" s="39">
        <f t="shared" si="2"/>
        <v>2.7639252146293852E-2</v>
      </c>
      <c r="K27" s="18">
        <v>1.27</v>
      </c>
      <c r="L27" s="32">
        <v>5.08</v>
      </c>
      <c r="M27" s="33">
        <v>3.27</v>
      </c>
      <c r="N27" s="4">
        <f t="shared" si="3"/>
        <v>1.5535168195718654</v>
      </c>
      <c r="O27" s="20">
        <f t="shared" si="4"/>
        <v>6.120481927710844</v>
      </c>
      <c r="P27">
        <f t="shared" si="5"/>
        <v>1682.2438344213651</v>
      </c>
    </row>
    <row r="28" spans="1:16">
      <c r="A28" s="16" t="s">
        <v>28</v>
      </c>
      <c r="B28" s="17" t="s">
        <v>38</v>
      </c>
      <c r="C28" s="18">
        <v>0.83</v>
      </c>
      <c r="D28" s="16">
        <v>50</v>
      </c>
      <c r="E28" s="36">
        <v>6.8</v>
      </c>
      <c r="F28" s="16">
        <v>1082</v>
      </c>
      <c r="G28" s="32">
        <v>67.400000000000006</v>
      </c>
      <c r="H28" s="39">
        <f t="shared" si="0"/>
        <v>0.20340851455874176</v>
      </c>
      <c r="I28" s="35">
        <f t="shared" si="1"/>
        <v>3.1607549902333424E-5</v>
      </c>
      <c r="J28" s="39">
        <f t="shared" si="2"/>
        <v>2.7639252146293852E-2</v>
      </c>
      <c r="K28" s="18">
        <v>1.27</v>
      </c>
      <c r="L28" s="32">
        <v>4.95</v>
      </c>
      <c r="M28" s="33">
        <v>3.23</v>
      </c>
      <c r="N28" s="4">
        <f t="shared" si="3"/>
        <v>1.5325077399380806</v>
      </c>
      <c r="O28" s="20">
        <f t="shared" si="4"/>
        <v>5.9638554216867474</v>
      </c>
      <c r="P28">
        <f t="shared" si="5"/>
        <v>1641.3397394658755</v>
      </c>
    </row>
    <row r="29" spans="1:16">
      <c r="A29" s="16" t="s">
        <v>29</v>
      </c>
      <c r="B29" s="17" t="s">
        <v>38</v>
      </c>
      <c r="C29" s="18">
        <v>0.25</v>
      </c>
      <c r="D29" s="16">
        <v>500</v>
      </c>
      <c r="E29" s="36">
        <v>6.8</v>
      </c>
      <c r="F29" s="16">
        <v>1082</v>
      </c>
      <c r="G29" s="32">
        <v>67.400000000000006</v>
      </c>
      <c r="H29" s="39">
        <f t="shared" si="0"/>
        <v>6.7531626833502258</v>
      </c>
      <c r="I29" s="35">
        <f t="shared" si="1"/>
        <v>0.11566583127043535</v>
      </c>
      <c r="J29" s="39">
        <f t="shared" si="2"/>
        <v>5.0361114171206339E-2</v>
      </c>
      <c r="K29" s="18">
        <v>0.51</v>
      </c>
      <c r="L29" s="32">
        <v>3.22</v>
      </c>
      <c r="M29" s="33">
        <v>2.58</v>
      </c>
      <c r="N29" s="4">
        <f t="shared" si="3"/>
        <v>1.248062015503876</v>
      </c>
      <c r="O29" s="20">
        <f t="shared" si="4"/>
        <v>12.88</v>
      </c>
      <c r="P29">
        <f t="shared" si="5"/>
        <v>1047.2077602373886</v>
      </c>
    </row>
    <row r="30" spans="1:16">
      <c r="A30" s="16" t="s">
        <v>30</v>
      </c>
      <c r="B30" s="17" t="s">
        <v>38</v>
      </c>
      <c r="C30" s="18">
        <v>0.25</v>
      </c>
      <c r="D30" s="16">
        <v>250</v>
      </c>
      <c r="E30" s="36">
        <v>6.8</v>
      </c>
      <c r="F30" s="16">
        <v>1082</v>
      </c>
      <c r="G30" s="32">
        <v>67.400000000000006</v>
      </c>
      <c r="H30" s="39">
        <f t="shared" si="0"/>
        <v>3.3765813416751129</v>
      </c>
      <c r="I30" s="35">
        <f t="shared" si="1"/>
        <v>2.8916457817608838E-2</v>
      </c>
      <c r="J30" s="39">
        <f t="shared" si="2"/>
        <v>5.0361114171206339E-2</v>
      </c>
      <c r="K30" s="18">
        <v>0.51</v>
      </c>
      <c r="L30" s="32">
        <v>3.26</v>
      </c>
      <c r="M30" s="33">
        <v>2.65</v>
      </c>
      <c r="N30" s="4">
        <f t="shared" si="3"/>
        <v>1.230188679245283</v>
      </c>
      <c r="O30" s="20">
        <f t="shared" si="4"/>
        <v>13.04</v>
      </c>
      <c r="P30">
        <f t="shared" si="5"/>
        <v>1104.8038724035607</v>
      </c>
    </row>
    <row r="31" spans="1:16">
      <c r="A31" t="s">
        <v>31</v>
      </c>
      <c r="B31" s="1" t="s">
        <v>498</v>
      </c>
      <c r="C31" s="14">
        <v>1.37</v>
      </c>
      <c r="D31">
        <v>1000</v>
      </c>
      <c r="E31" s="26">
        <v>1</v>
      </c>
      <c r="F31">
        <v>1000</v>
      </c>
      <c r="G31" s="27">
        <v>72</v>
      </c>
      <c r="H31" s="24">
        <f t="shared" si="0"/>
        <v>15.489532174393707</v>
      </c>
      <c r="I31" s="25">
        <f t="shared" si="1"/>
        <v>2.4323358372017219E-3</v>
      </c>
      <c r="J31" s="24">
        <f t="shared" si="2"/>
        <v>3.1840029995869588E-3</v>
      </c>
      <c r="K31" s="14">
        <v>1.8</v>
      </c>
      <c r="L31" s="27">
        <v>6.82</v>
      </c>
      <c r="M31" s="27">
        <v>3.96</v>
      </c>
      <c r="N31" s="4">
        <f t="shared" si="3"/>
        <v>1.7222222222222223</v>
      </c>
      <c r="O31" s="20">
        <f t="shared" si="4"/>
        <v>4.9781021897810218</v>
      </c>
      <c r="P31">
        <f t="shared" si="5"/>
        <v>2134.4400000000005</v>
      </c>
    </row>
    <row r="32" spans="1:16">
      <c r="A32" t="s">
        <v>32</v>
      </c>
      <c r="B32" s="1" t="s">
        <v>498</v>
      </c>
      <c r="C32" s="14">
        <v>1.37</v>
      </c>
      <c r="D32">
        <v>1000</v>
      </c>
      <c r="E32" s="26">
        <v>1</v>
      </c>
      <c r="F32">
        <v>1000</v>
      </c>
      <c r="G32" s="27">
        <v>72</v>
      </c>
      <c r="H32" s="24">
        <f t="shared" si="0"/>
        <v>15.489532174393707</v>
      </c>
      <c r="I32" s="25">
        <f t="shared" si="1"/>
        <v>2.4323358372017219E-3</v>
      </c>
      <c r="J32" s="24">
        <f t="shared" si="2"/>
        <v>3.1840029995869588E-3</v>
      </c>
      <c r="K32" s="14">
        <v>1.8</v>
      </c>
      <c r="L32" s="27">
        <v>6.83</v>
      </c>
      <c r="M32" s="27">
        <v>3.95</v>
      </c>
      <c r="N32" s="4">
        <f t="shared" si="3"/>
        <v>1.7291139240506328</v>
      </c>
      <c r="O32" s="20">
        <f t="shared" si="4"/>
        <v>4.985401459854014</v>
      </c>
      <c r="P32">
        <f t="shared" si="5"/>
        <v>2123.6736111111113</v>
      </c>
    </row>
    <row r="33" spans="1:16">
      <c r="A33" t="s">
        <v>33</v>
      </c>
      <c r="B33" s="1" t="s">
        <v>498</v>
      </c>
      <c r="C33" s="14">
        <v>1.37</v>
      </c>
      <c r="D33">
        <v>500</v>
      </c>
      <c r="E33" s="26">
        <v>1</v>
      </c>
      <c r="F33">
        <v>1000</v>
      </c>
      <c r="G33" s="27">
        <v>72</v>
      </c>
      <c r="H33" s="24">
        <f t="shared" si="0"/>
        <v>7.7447660871968536</v>
      </c>
      <c r="I33" s="25">
        <f t="shared" si="1"/>
        <v>6.0808395930043047E-4</v>
      </c>
      <c r="J33" s="24">
        <f t="shared" si="2"/>
        <v>3.1840029995869588E-3</v>
      </c>
      <c r="K33" s="14">
        <v>1.8</v>
      </c>
      <c r="L33" s="27">
        <v>6.88</v>
      </c>
      <c r="M33" s="27">
        <v>3.94</v>
      </c>
      <c r="N33" s="4">
        <f t="shared" si="3"/>
        <v>1.7461928934010151</v>
      </c>
      <c r="O33" s="20">
        <f t="shared" si="4"/>
        <v>5.0218978102189773</v>
      </c>
      <c r="P33">
        <f t="shared" si="5"/>
        <v>2112.934444444445</v>
      </c>
    </row>
    <row r="34" spans="1:16">
      <c r="A34" t="s">
        <v>34</v>
      </c>
      <c r="B34" s="1" t="s">
        <v>498</v>
      </c>
      <c r="C34" s="14">
        <v>1.37</v>
      </c>
      <c r="D34">
        <v>500</v>
      </c>
      <c r="E34" s="26">
        <v>1</v>
      </c>
      <c r="F34">
        <v>1000</v>
      </c>
      <c r="G34" s="27">
        <v>72</v>
      </c>
      <c r="H34" s="24">
        <f t="shared" si="0"/>
        <v>7.7447660871968536</v>
      </c>
      <c r="I34" s="25">
        <f t="shared" si="1"/>
        <v>6.0808395930043047E-4</v>
      </c>
      <c r="J34" s="24">
        <f t="shared" si="2"/>
        <v>3.1840029995869588E-3</v>
      </c>
      <c r="K34" s="14">
        <v>1.8</v>
      </c>
      <c r="L34" s="27">
        <v>6.82</v>
      </c>
      <c r="M34" s="27">
        <v>3.95</v>
      </c>
      <c r="N34" s="4">
        <f t="shared" si="3"/>
        <v>1.7265822784810128</v>
      </c>
      <c r="O34" s="20">
        <f t="shared" si="4"/>
        <v>4.9781021897810218</v>
      </c>
      <c r="P34">
        <f t="shared" si="5"/>
        <v>2123.6736111111113</v>
      </c>
    </row>
    <row r="35" spans="1:16">
      <c r="A35" t="s">
        <v>40</v>
      </c>
      <c r="B35" s="1" t="s">
        <v>498</v>
      </c>
      <c r="C35" s="14">
        <v>1.37</v>
      </c>
      <c r="D35">
        <v>250</v>
      </c>
      <c r="E35" s="26">
        <v>1</v>
      </c>
      <c r="F35">
        <v>1000</v>
      </c>
      <c r="G35" s="27">
        <v>72</v>
      </c>
      <c r="H35" s="24">
        <f t="shared" si="0"/>
        <v>3.8723830435984268</v>
      </c>
      <c r="I35" s="25">
        <f t="shared" si="1"/>
        <v>1.5202098982510762E-4</v>
      </c>
      <c r="J35" s="24">
        <f t="shared" si="2"/>
        <v>3.1840029995869588E-3</v>
      </c>
      <c r="K35" s="14">
        <v>1.8</v>
      </c>
      <c r="L35" s="27">
        <v>6.88</v>
      </c>
      <c r="M35" s="27">
        <v>3.89</v>
      </c>
      <c r="N35" s="4">
        <f t="shared" si="3"/>
        <v>1.768637532133676</v>
      </c>
      <c r="O35" s="20">
        <f t="shared" si="4"/>
        <v>5.0218978102189773</v>
      </c>
      <c r="P35">
        <f t="shared" si="5"/>
        <v>2059.6469444444447</v>
      </c>
    </row>
    <row r="36" spans="1:16">
      <c r="A36" t="s">
        <v>41</v>
      </c>
      <c r="B36" s="1" t="s">
        <v>498</v>
      </c>
      <c r="C36" s="14">
        <v>1.37</v>
      </c>
      <c r="D36">
        <v>250</v>
      </c>
      <c r="E36" s="26">
        <v>1</v>
      </c>
      <c r="F36">
        <v>1000</v>
      </c>
      <c r="G36" s="27">
        <v>72</v>
      </c>
      <c r="H36" s="24">
        <f>(4/60*F36*D36*10^(-9))/(PI()*C36*E36*10^(-6))</f>
        <v>3.8723830435984268</v>
      </c>
      <c r="I36" s="25">
        <f t="shared" si="1"/>
        <v>1.5202098982510762E-4</v>
      </c>
      <c r="J36" s="24">
        <f t="shared" si="2"/>
        <v>3.1840029995869588E-3</v>
      </c>
      <c r="K36" s="14">
        <v>1.8</v>
      </c>
      <c r="L36" s="27">
        <v>6.83</v>
      </c>
      <c r="M36" s="27">
        <v>3.91</v>
      </c>
      <c r="N36" s="4">
        <f t="shared" si="3"/>
        <v>1.7468030690537084</v>
      </c>
      <c r="O36" s="20">
        <f t="shared" si="4"/>
        <v>4.985401459854014</v>
      </c>
      <c r="P36">
        <f t="shared" si="5"/>
        <v>2080.8802777777778</v>
      </c>
    </row>
    <row r="37" spans="1:16">
      <c r="A37" t="s">
        <v>42</v>
      </c>
      <c r="B37" s="1" t="s">
        <v>498</v>
      </c>
      <c r="C37" s="14">
        <v>1.37</v>
      </c>
      <c r="D37">
        <v>100</v>
      </c>
      <c r="E37" s="26">
        <v>1</v>
      </c>
      <c r="F37">
        <v>1000</v>
      </c>
      <c r="G37" s="27">
        <v>72</v>
      </c>
      <c r="H37" s="24">
        <f t="shared" si="0"/>
        <v>1.548953217439371</v>
      </c>
      <c r="I37" s="25">
        <f t="shared" si="1"/>
        <v>2.4323358372017216E-5</v>
      </c>
      <c r="J37" s="24">
        <f t="shared" si="2"/>
        <v>3.1840029995869584E-3</v>
      </c>
      <c r="K37" s="14">
        <v>1.8</v>
      </c>
      <c r="L37" s="27">
        <v>6.9</v>
      </c>
      <c r="M37" s="27">
        <v>3.9</v>
      </c>
      <c r="N37" s="4">
        <f t="shared" si="3"/>
        <v>1.7692307692307694</v>
      </c>
      <c r="O37" s="20">
        <f t="shared" si="4"/>
        <v>5.0364963503649633</v>
      </c>
      <c r="P37">
        <f t="shared" si="5"/>
        <v>2070.25</v>
      </c>
    </row>
    <row r="38" spans="1:16">
      <c r="A38" t="s">
        <v>43</v>
      </c>
      <c r="B38" s="1" t="s">
        <v>498</v>
      </c>
      <c r="C38" s="14">
        <v>1.37</v>
      </c>
      <c r="D38">
        <v>100</v>
      </c>
      <c r="E38" s="26">
        <v>1</v>
      </c>
      <c r="F38">
        <v>1000</v>
      </c>
      <c r="G38" s="27">
        <v>72</v>
      </c>
      <c r="H38" s="24">
        <f t="shared" si="0"/>
        <v>1.548953217439371</v>
      </c>
      <c r="I38" s="25">
        <f t="shared" si="1"/>
        <v>2.4323358372017216E-5</v>
      </c>
      <c r="J38" s="24">
        <f t="shared" si="2"/>
        <v>3.1840029995869584E-3</v>
      </c>
      <c r="K38" s="14">
        <v>1.8</v>
      </c>
      <c r="L38" s="27">
        <v>6.81</v>
      </c>
      <c r="M38" s="27">
        <v>3.86</v>
      </c>
      <c r="N38" s="4">
        <f t="shared" si="3"/>
        <v>1.7642487046632125</v>
      </c>
      <c r="O38" s="20">
        <f t="shared" si="4"/>
        <v>4.9708029197080288</v>
      </c>
      <c r="P38">
        <f t="shared" si="5"/>
        <v>2028.0011111111114</v>
      </c>
    </row>
    <row r="39" spans="1:16">
      <c r="A39" t="s">
        <v>44</v>
      </c>
      <c r="B39" s="1" t="s">
        <v>498</v>
      </c>
      <c r="C39" s="14">
        <v>1.37</v>
      </c>
      <c r="D39">
        <v>750</v>
      </c>
      <c r="E39" s="26">
        <v>1</v>
      </c>
      <c r="F39">
        <v>1000</v>
      </c>
      <c r="G39" s="27">
        <v>72</v>
      </c>
      <c r="H39" s="24">
        <f t="shared" si="0"/>
        <v>11.61714913079528</v>
      </c>
      <c r="I39" s="25">
        <f t="shared" si="1"/>
        <v>1.3681889084259681E-3</v>
      </c>
      <c r="J39" s="24">
        <f t="shared" si="2"/>
        <v>3.1840029995869588E-3</v>
      </c>
      <c r="K39" s="14">
        <v>1.8</v>
      </c>
      <c r="L39" s="27">
        <v>6.86</v>
      </c>
      <c r="M39" s="27">
        <v>3.93</v>
      </c>
      <c r="N39" s="4">
        <f t="shared" si="3"/>
        <v>1.7455470737913485</v>
      </c>
      <c r="O39" s="20">
        <f t="shared" si="4"/>
        <v>5.0072992700729921</v>
      </c>
      <c r="P39">
        <f t="shared" si="5"/>
        <v>2102.2225000000003</v>
      </c>
    </row>
    <row r="40" spans="1:16">
      <c r="A40" t="s">
        <v>45</v>
      </c>
      <c r="B40" s="1" t="s">
        <v>498</v>
      </c>
      <c r="C40" s="14">
        <v>1.37</v>
      </c>
      <c r="D40">
        <v>750</v>
      </c>
      <c r="E40" s="26">
        <v>1</v>
      </c>
      <c r="F40">
        <v>1000</v>
      </c>
      <c r="G40" s="27">
        <v>72</v>
      </c>
      <c r="H40" s="24">
        <f t="shared" si="0"/>
        <v>11.61714913079528</v>
      </c>
      <c r="I40" s="25">
        <f t="shared" si="1"/>
        <v>1.3681889084259681E-3</v>
      </c>
      <c r="J40" s="24">
        <f t="shared" si="2"/>
        <v>3.1840029995869588E-3</v>
      </c>
      <c r="K40" s="14">
        <v>1.8</v>
      </c>
      <c r="L40" s="27">
        <v>6.85</v>
      </c>
      <c r="M40" s="27">
        <v>3.91</v>
      </c>
      <c r="N40" s="4">
        <f t="shared" si="3"/>
        <v>1.7519181585677748</v>
      </c>
      <c r="O40" s="20">
        <f t="shared" si="4"/>
        <v>4.9999999999999991</v>
      </c>
      <c r="P40">
        <f t="shared" si="5"/>
        <v>2080.8802777777778</v>
      </c>
    </row>
    <row r="41" spans="1:16">
      <c r="A41" t="s">
        <v>46</v>
      </c>
      <c r="B41" s="1" t="s">
        <v>498</v>
      </c>
      <c r="C41" s="14">
        <v>0.83</v>
      </c>
      <c r="D41">
        <v>750</v>
      </c>
      <c r="E41" s="26">
        <v>1</v>
      </c>
      <c r="F41">
        <v>1000</v>
      </c>
      <c r="G41" s="27">
        <v>72</v>
      </c>
      <c r="H41" s="24">
        <f t="shared" si="0"/>
        <v>19.175294348421126</v>
      </c>
      <c r="I41" s="25">
        <f t="shared" si="1"/>
        <v>6.1528097949898114E-3</v>
      </c>
      <c r="J41" s="24">
        <f t="shared" si="2"/>
        <v>4.0906724472817993E-3</v>
      </c>
      <c r="K41" s="14">
        <v>1.27</v>
      </c>
      <c r="L41" s="27">
        <v>5.37</v>
      </c>
      <c r="M41" s="27">
        <v>3.64</v>
      </c>
      <c r="N41" s="4">
        <f t="shared" si="3"/>
        <v>1.4752747252747254</v>
      </c>
      <c r="O41" s="20">
        <f t="shared" si="4"/>
        <v>6.4698795180722897</v>
      </c>
      <c r="P41">
        <f t="shared" si="5"/>
        <v>1803.4177777777779</v>
      </c>
    </row>
    <row r="42" spans="1:16">
      <c r="A42" t="s">
        <v>47</v>
      </c>
      <c r="B42" s="1" t="s">
        <v>498</v>
      </c>
      <c r="C42" s="14">
        <v>0.83</v>
      </c>
      <c r="D42">
        <v>750</v>
      </c>
      <c r="E42" s="26">
        <v>1</v>
      </c>
      <c r="F42">
        <v>1000</v>
      </c>
      <c r="G42" s="27">
        <v>72</v>
      </c>
      <c r="H42" s="24">
        <f t="shared" si="0"/>
        <v>19.175294348421126</v>
      </c>
      <c r="I42" s="25">
        <f t="shared" si="1"/>
        <v>6.1528097949898114E-3</v>
      </c>
      <c r="J42" s="24">
        <f t="shared" si="2"/>
        <v>4.0906724472817993E-3</v>
      </c>
      <c r="K42" s="14">
        <v>1.27</v>
      </c>
      <c r="L42" s="27">
        <v>5.18</v>
      </c>
      <c r="M42" s="27">
        <v>3.53</v>
      </c>
      <c r="N42" s="4">
        <f t="shared" si="3"/>
        <v>1.4674220963172804</v>
      </c>
      <c r="O42" s="20">
        <f t="shared" si="4"/>
        <v>6.2409638554216871</v>
      </c>
      <c r="P42">
        <f t="shared" si="5"/>
        <v>1696.0669444444445</v>
      </c>
    </row>
    <row r="43" spans="1:16">
      <c r="A43" t="s">
        <v>48</v>
      </c>
      <c r="B43" s="1" t="s">
        <v>498</v>
      </c>
      <c r="C43" s="14">
        <v>0.83</v>
      </c>
      <c r="D43">
        <v>1000</v>
      </c>
      <c r="E43" s="26">
        <v>1</v>
      </c>
      <c r="F43">
        <v>1000</v>
      </c>
      <c r="G43" s="27">
        <v>72</v>
      </c>
      <c r="H43" s="24">
        <f t="shared" si="0"/>
        <v>25.56705913122817</v>
      </c>
      <c r="I43" s="25">
        <f t="shared" si="1"/>
        <v>1.0938328524426335E-2</v>
      </c>
      <c r="J43" s="24">
        <f t="shared" si="2"/>
        <v>4.0906724472817993E-3</v>
      </c>
      <c r="K43" s="14">
        <v>1.27</v>
      </c>
      <c r="L43" s="27">
        <v>5.36</v>
      </c>
      <c r="M43" s="27">
        <v>3.6</v>
      </c>
      <c r="N43" s="4">
        <f t="shared" si="3"/>
        <v>1.4888888888888889</v>
      </c>
      <c r="O43" s="20">
        <f t="shared" si="4"/>
        <v>6.4578313253012052</v>
      </c>
      <c r="P43">
        <f t="shared" si="5"/>
        <v>1764.0000000000002</v>
      </c>
    </row>
    <row r="44" spans="1:16">
      <c r="A44" t="s">
        <v>49</v>
      </c>
      <c r="B44" s="1" t="s">
        <v>498</v>
      </c>
      <c r="C44" s="14">
        <v>0.83</v>
      </c>
      <c r="D44">
        <v>500</v>
      </c>
      <c r="E44" s="26">
        <v>1</v>
      </c>
      <c r="F44">
        <v>1000</v>
      </c>
      <c r="G44" s="27">
        <v>72</v>
      </c>
      <c r="H44" s="24">
        <f t="shared" si="0"/>
        <v>12.783529565614085</v>
      </c>
      <c r="I44" s="25">
        <f t="shared" si="1"/>
        <v>2.7345821311065836E-3</v>
      </c>
      <c r="J44" s="24">
        <f t="shared" si="2"/>
        <v>4.0906724472817993E-3</v>
      </c>
      <c r="K44" s="14">
        <v>1.27</v>
      </c>
      <c r="L44" s="27">
        <v>5.14</v>
      </c>
      <c r="M44" s="27">
        <v>3.51</v>
      </c>
      <c r="N44" s="4">
        <f t="shared" si="3"/>
        <v>1.4643874643874644</v>
      </c>
      <c r="O44" s="20">
        <f t="shared" si="4"/>
        <v>6.1927710843373491</v>
      </c>
      <c r="P44">
        <f t="shared" si="5"/>
        <v>1676.9024999999999</v>
      </c>
    </row>
    <row r="45" spans="1:16">
      <c r="A45" t="s">
        <v>50</v>
      </c>
      <c r="B45" s="1" t="s">
        <v>498</v>
      </c>
      <c r="C45" s="14">
        <v>0.83</v>
      </c>
      <c r="D45">
        <v>250</v>
      </c>
      <c r="E45" s="26">
        <v>1</v>
      </c>
      <c r="F45">
        <v>1000</v>
      </c>
      <c r="G45" s="27">
        <v>72</v>
      </c>
      <c r="H45" s="24">
        <f t="shared" si="0"/>
        <v>6.3917647828070425</v>
      </c>
      <c r="I45" s="25">
        <f t="shared" si="1"/>
        <v>6.8364553277664591E-4</v>
      </c>
      <c r="J45" s="24">
        <f t="shared" si="2"/>
        <v>4.0906724472817993E-3</v>
      </c>
      <c r="K45" s="14">
        <v>1.27</v>
      </c>
      <c r="L45" s="27">
        <v>5.16</v>
      </c>
      <c r="M45" s="27">
        <v>3.5</v>
      </c>
      <c r="N45" s="4">
        <f t="shared" si="3"/>
        <v>1.4742857142857144</v>
      </c>
      <c r="O45" s="20">
        <f t="shared" si="4"/>
        <v>6.2168674698795181</v>
      </c>
      <c r="P45">
        <f t="shared" si="5"/>
        <v>1667.3611111111113</v>
      </c>
    </row>
    <row r="46" spans="1:16">
      <c r="A46" t="s">
        <v>51</v>
      </c>
      <c r="B46" s="1" t="s">
        <v>498</v>
      </c>
      <c r="C46" s="14">
        <v>0.83</v>
      </c>
      <c r="D46">
        <v>100</v>
      </c>
      <c r="E46" s="26">
        <v>1</v>
      </c>
      <c r="F46">
        <v>1000</v>
      </c>
      <c r="G46" s="27">
        <v>72</v>
      </c>
      <c r="H46" s="24">
        <f t="shared" si="0"/>
        <v>2.5567059131228169</v>
      </c>
      <c r="I46" s="25">
        <f t="shared" si="1"/>
        <v>1.0938328524426333E-4</v>
      </c>
      <c r="J46" s="24">
        <f t="shared" si="2"/>
        <v>4.0906724472817993E-3</v>
      </c>
      <c r="K46" s="14">
        <v>1.27</v>
      </c>
      <c r="L46" s="27">
        <v>5.07</v>
      </c>
      <c r="M46" s="27">
        <v>3.5</v>
      </c>
      <c r="N46" s="4">
        <f t="shared" si="3"/>
        <v>1.4485714285714286</v>
      </c>
      <c r="O46" s="20">
        <f t="shared" si="4"/>
        <v>6.1084337349397595</v>
      </c>
      <c r="P46">
        <f t="shared" si="5"/>
        <v>1667.3611111111113</v>
      </c>
    </row>
    <row r="47" spans="1:16">
      <c r="A47" t="s">
        <v>52</v>
      </c>
      <c r="B47" s="1" t="s">
        <v>498</v>
      </c>
      <c r="C47" s="14">
        <v>0.25</v>
      </c>
      <c r="D47">
        <v>1000</v>
      </c>
      <c r="E47" s="26">
        <v>1</v>
      </c>
      <c r="F47">
        <v>1000</v>
      </c>
      <c r="G47" s="27">
        <v>72</v>
      </c>
      <c r="H47" s="24">
        <f t="shared" si="0"/>
        <v>84.88263631567753</v>
      </c>
      <c r="I47" s="25">
        <f t="shared" si="1"/>
        <v>0.40028121932775429</v>
      </c>
      <c r="J47" s="24">
        <f t="shared" si="2"/>
        <v>7.4535599249992996E-3</v>
      </c>
      <c r="K47" s="14">
        <v>0.51</v>
      </c>
      <c r="L47" s="27">
        <v>3.16</v>
      </c>
      <c r="M47" s="27">
        <v>2.62</v>
      </c>
      <c r="N47" s="4">
        <f t="shared" si="3"/>
        <v>1.2061068702290076</v>
      </c>
      <c r="O47" s="20">
        <f t="shared" si="4"/>
        <v>12.64</v>
      </c>
      <c r="P47">
        <f t="shared" si="5"/>
        <v>934.32111111111124</v>
      </c>
    </row>
    <row r="48" spans="1:16">
      <c r="A48" t="s">
        <v>53</v>
      </c>
      <c r="B48" s="1" t="s">
        <v>498</v>
      </c>
      <c r="C48" s="14">
        <v>0.25</v>
      </c>
      <c r="D48">
        <v>500</v>
      </c>
      <c r="E48" s="26">
        <v>1</v>
      </c>
      <c r="F48">
        <v>1000</v>
      </c>
      <c r="G48" s="27">
        <v>72</v>
      </c>
      <c r="H48" s="24">
        <f t="shared" si="0"/>
        <v>42.441318157838765</v>
      </c>
      <c r="I48" s="25">
        <f t="shared" si="1"/>
        <v>0.10007030483193857</v>
      </c>
      <c r="J48" s="24">
        <f t="shared" si="2"/>
        <v>7.4535599249992996E-3</v>
      </c>
      <c r="K48" s="14">
        <v>0.51</v>
      </c>
      <c r="L48" s="27">
        <v>3.17</v>
      </c>
      <c r="M48" s="27">
        <v>2.61</v>
      </c>
      <c r="N48" s="4">
        <f t="shared" si="3"/>
        <v>1.2145593869731801</v>
      </c>
      <c r="O48" s="20">
        <f t="shared" si="4"/>
        <v>12.68</v>
      </c>
      <c r="P48">
        <f t="shared" si="5"/>
        <v>927.20249999999999</v>
      </c>
    </row>
    <row r="49" spans="1:16">
      <c r="A49" t="s">
        <v>54</v>
      </c>
      <c r="B49" s="1" t="s">
        <v>498</v>
      </c>
      <c r="C49" s="14">
        <v>0.25</v>
      </c>
      <c r="D49">
        <v>750</v>
      </c>
      <c r="E49" s="26">
        <v>1</v>
      </c>
      <c r="F49">
        <v>1000</v>
      </c>
      <c r="G49" s="27">
        <v>72</v>
      </c>
      <c r="H49" s="24">
        <f>(4/60*F49*D49*10^(-9))/(PI()*C49*E49*10^(-6))</f>
        <v>63.661977236758148</v>
      </c>
      <c r="I49" s="25">
        <f t="shared" si="1"/>
        <v>0.2251581858718617</v>
      </c>
      <c r="J49" s="24">
        <f t="shared" si="2"/>
        <v>7.4535599249992979E-3</v>
      </c>
      <c r="K49" s="14">
        <v>0.51</v>
      </c>
      <c r="L49" s="27">
        <v>3.02</v>
      </c>
      <c r="M49" s="27">
        <v>2.5</v>
      </c>
      <c r="N49" s="4">
        <f t="shared" si="3"/>
        <v>1.208</v>
      </c>
      <c r="O49" s="20">
        <f t="shared" si="4"/>
        <v>12.08</v>
      </c>
      <c r="P49">
        <f t="shared" si="5"/>
        <v>850.69444444444457</v>
      </c>
    </row>
    <row r="50" spans="1:16">
      <c r="A50" t="s">
        <v>55</v>
      </c>
      <c r="B50" s="1" t="s">
        <v>498</v>
      </c>
      <c r="C50" s="14">
        <v>0.25</v>
      </c>
      <c r="D50">
        <v>250</v>
      </c>
      <c r="E50" s="26">
        <v>1</v>
      </c>
      <c r="F50">
        <v>1000</v>
      </c>
      <c r="G50" s="27">
        <v>72</v>
      </c>
      <c r="H50" s="24">
        <f t="shared" si="0"/>
        <v>21.220659078919383</v>
      </c>
      <c r="I50" s="25">
        <f t="shared" si="1"/>
        <v>2.5017576207984643E-2</v>
      </c>
      <c r="J50" s="24">
        <f t="shared" si="2"/>
        <v>7.4535599249992996E-3</v>
      </c>
      <c r="K50" s="14">
        <v>0.51</v>
      </c>
      <c r="L50" s="27">
        <v>3.1</v>
      </c>
      <c r="M50" s="27">
        <v>2.58</v>
      </c>
      <c r="N50" s="4">
        <f t="shared" si="3"/>
        <v>1.2015503875968991</v>
      </c>
      <c r="O50" s="20">
        <f t="shared" si="4"/>
        <v>12.4</v>
      </c>
      <c r="P50">
        <f t="shared" si="5"/>
        <v>906.0100000000001</v>
      </c>
    </row>
    <row r="51" spans="1:16">
      <c r="A51" t="s">
        <v>56</v>
      </c>
      <c r="B51" s="1" t="s">
        <v>498</v>
      </c>
      <c r="C51" s="14">
        <v>0.25</v>
      </c>
      <c r="D51">
        <v>100</v>
      </c>
      <c r="E51" s="26">
        <v>1</v>
      </c>
      <c r="F51">
        <v>1000</v>
      </c>
      <c r="G51" s="27">
        <v>72</v>
      </c>
      <c r="H51" s="24">
        <f t="shared" si="0"/>
        <v>8.4882636315677527</v>
      </c>
      <c r="I51" s="25">
        <f t="shared" si="1"/>
        <v>4.0028121932775421E-3</v>
      </c>
      <c r="J51" s="24">
        <f t="shared" si="2"/>
        <v>7.4535599249992979E-3</v>
      </c>
      <c r="K51" s="14">
        <v>0.51</v>
      </c>
      <c r="L51" s="27">
        <v>3.2</v>
      </c>
      <c r="M51" s="27">
        <v>2.65</v>
      </c>
      <c r="N51" s="4">
        <f t="shared" si="3"/>
        <v>1.2075471698113209</v>
      </c>
      <c r="O51" s="20">
        <f t="shared" si="4"/>
        <v>12.8</v>
      </c>
      <c r="P51">
        <f t="shared" si="5"/>
        <v>955.84027777777783</v>
      </c>
    </row>
    <row r="52" spans="1:16">
      <c r="A52" t="s">
        <v>57</v>
      </c>
      <c r="B52" s="1" t="s">
        <v>498</v>
      </c>
      <c r="C52" s="14">
        <v>0.1</v>
      </c>
      <c r="D52">
        <v>1000</v>
      </c>
      <c r="E52" s="26">
        <v>1</v>
      </c>
      <c r="F52">
        <v>1000</v>
      </c>
      <c r="G52" s="27">
        <v>72</v>
      </c>
      <c r="H52" s="24">
        <f t="shared" si="0"/>
        <v>212.2065907891938</v>
      </c>
      <c r="I52" s="25">
        <f t="shared" si="1"/>
        <v>6.2543940519961607</v>
      </c>
      <c r="J52" s="24">
        <f t="shared" si="2"/>
        <v>1.1785113019775794E-2</v>
      </c>
      <c r="K52" s="14">
        <v>0.24</v>
      </c>
      <c r="L52" s="27">
        <v>2.25</v>
      </c>
      <c r="M52" s="23">
        <v>2</v>
      </c>
      <c r="N52" s="4">
        <f t="shared" si="3"/>
        <v>1.125</v>
      </c>
      <c r="O52" s="20">
        <f t="shared" si="4"/>
        <v>22.5</v>
      </c>
      <c r="P52">
        <f t="shared" si="5"/>
        <v>544.44444444444446</v>
      </c>
    </row>
    <row r="53" spans="1:16">
      <c r="A53" t="s">
        <v>58</v>
      </c>
      <c r="B53" s="1" t="s">
        <v>498</v>
      </c>
      <c r="C53" s="14">
        <v>0.1</v>
      </c>
      <c r="D53">
        <v>750</v>
      </c>
      <c r="E53" s="26">
        <v>1</v>
      </c>
      <c r="F53">
        <v>1000</v>
      </c>
      <c r="G53" s="27">
        <v>72</v>
      </c>
      <c r="H53" s="24">
        <f t="shared" si="0"/>
        <v>159.15494309189535</v>
      </c>
      <c r="I53" s="25">
        <f t="shared" si="1"/>
        <v>3.5180966542478393</v>
      </c>
      <c r="J53" s="24">
        <f t="shared" si="2"/>
        <v>1.1785113019775792E-2</v>
      </c>
      <c r="K53" s="14">
        <v>0.24</v>
      </c>
      <c r="L53" s="27">
        <v>2.5299999999999998</v>
      </c>
      <c r="M53" s="23">
        <v>2.29</v>
      </c>
      <c r="N53" s="4">
        <f t="shared" si="3"/>
        <v>1.1048034934497815</v>
      </c>
      <c r="O53" s="20">
        <f t="shared" si="4"/>
        <v>25.299999999999997</v>
      </c>
      <c r="P53">
        <f t="shared" si="5"/>
        <v>713.78027777777788</v>
      </c>
    </row>
    <row r="54" spans="1:16">
      <c r="A54" t="s">
        <v>59</v>
      </c>
      <c r="B54" s="1" t="s">
        <v>498</v>
      </c>
      <c r="C54" s="14">
        <v>0.1</v>
      </c>
      <c r="D54">
        <v>500</v>
      </c>
      <c r="E54" s="26">
        <v>1</v>
      </c>
      <c r="F54">
        <v>1000</v>
      </c>
      <c r="G54" s="27">
        <v>72</v>
      </c>
      <c r="H54" s="24">
        <f t="shared" si="0"/>
        <v>106.1032953945969</v>
      </c>
      <c r="I54" s="25">
        <f t="shared" si="1"/>
        <v>1.5635985129990402</v>
      </c>
      <c r="J54" s="24">
        <f t="shared" si="2"/>
        <v>1.1785113019775794E-2</v>
      </c>
      <c r="K54" s="14">
        <v>0.24</v>
      </c>
      <c r="L54" s="27">
        <v>2.27</v>
      </c>
      <c r="M54" s="23">
        <v>2.0299999999999998</v>
      </c>
      <c r="N54" s="4">
        <f t="shared" si="3"/>
        <v>1.1182266009852218</v>
      </c>
      <c r="O54" s="20">
        <f t="shared" si="4"/>
        <v>22.7</v>
      </c>
      <c r="P54">
        <f t="shared" si="5"/>
        <v>560.90027777777766</v>
      </c>
    </row>
    <row r="55" spans="1:16">
      <c r="A55" t="s">
        <v>60</v>
      </c>
      <c r="B55" s="1" t="s">
        <v>498</v>
      </c>
      <c r="C55" s="14">
        <v>0.1</v>
      </c>
      <c r="D55">
        <v>250</v>
      </c>
      <c r="E55" s="26">
        <v>1</v>
      </c>
      <c r="F55">
        <v>1000</v>
      </c>
      <c r="G55" s="27">
        <v>72</v>
      </c>
      <c r="H55" s="24">
        <f t="shared" si="0"/>
        <v>53.051647697298449</v>
      </c>
      <c r="I55" s="25">
        <f t="shared" si="1"/>
        <v>0.39089962824976004</v>
      </c>
      <c r="J55" s="24">
        <f t="shared" si="2"/>
        <v>1.1785113019775794E-2</v>
      </c>
      <c r="K55" s="14">
        <v>0.24</v>
      </c>
      <c r="L55" s="27">
        <v>2.2799999999999998</v>
      </c>
      <c r="M55" s="23">
        <v>2.0299999999999998</v>
      </c>
      <c r="N55" s="4">
        <f t="shared" si="3"/>
        <v>1.1231527093596059</v>
      </c>
      <c r="O55" s="20">
        <f t="shared" si="4"/>
        <v>22.799999999999997</v>
      </c>
      <c r="P55">
        <f t="shared" si="5"/>
        <v>560.90027777777766</v>
      </c>
    </row>
    <row r="56" spans="1:16">
      <c r="A56" t="s">
        <v>61</v>
      </c>
      <c r="B56" s="1" t="s">
        <v>498</v>
      </c>
      <c r="C56" s="14">
        <v>0.1</v>
      </c>
      <c r="D56">
        <v>100</v>
      </c>
      <c r="E56" s="26">
        <v>1</v>
      </c>
      <c r="F56">
        <v>1000</v>
      </c>
      <c r="G56" s="27">
        <v>72</v>
      </c>
      <c r="H56" s="24">
        <f t="shared" si="0"/>
        <v>21.220659078919383</v>
      </c>
      <c r="I56" s="25">
        <f t="shared" si="1"/>
        <v>6.2543940519961594E-2</v>
      </c>
      <c r="J56" s="24">
        <f t="shared" si="2"/>
        <v>1.178511301977579E-2</v>
      </c>
      <c r="K56" s="14">
        <v>0.24</v>
      </c>
      <c r="L56" s="27">
        <v>2.2599999999999998</v>
      </c>
      <c r="M56" s="23">
        <v>2.0099999999999998</v>
      </c>
      <c r="N56" s="4">
        <f t="shared" si="3"/>
        <v>1.1243781094527363</v>
      </c>
      <c r="O56" s="20">
        <f t="shared" si="4"/>
        <v>22.599999999999998</v>
      </c>
      <c r="P56">
        <f t="shared" si="5"/>
        <v>549.90249999999992</v>
      </c>
    </row>
    <row r="57" spans="1:16">
      <c r="A57" t="s">
        <v>62</v>
      </c>
      <c r="B57" s="2" t="s">
        <v>500</v>
      </c>
      <c r="C57" s="14">
        <v>1.37</v>
      </c>
      <c r="D57">
        <v>1000</v>
      </c>
      <c r="E57" s="26">
        <v>1.5</v>
      </c>
      <c r="F57">
        <v>1005</v>
      </c>
      <c r="G57" s="27">
        <v>71.5</v>
      </c>
      <c r="H57" s="24">
        <f t="shared" ref="H57:H113" si="6">(4/60*F57*D57*10^(-9))/(PI()*C57*E57*10^(-6))</f>
        <v>10.377986556843783</v>
      </c>
      <c r="I57" s="25">
        <f t="shared" ref="I57:I113" si="7">(16 * F57 * (D57 * 10^-9 / 60)^2) / (PI()^2 * (C57 * 10^-3)^3 * (G57 * 10^-3))</f>
        <v>2.4615919046142181E-3</v>
      </c>
      <c r="J57" s="24">
        <f t="shared" si="2"/>
        <v>4.7807377809577362E-3</v>
      </c>
      <c r="K57" s="14">
        <v>1.8</v>
      </c>
      <c r="L57" s="27">
        <v>6.6</v>
      </c>
      <c r="M57" s="27">
        <v>3.75</v>
      </c>
      <c r="N57" s="4">
        <f t="shared" si="3"/>
        <v>1.76</v>
      </c>
      <c r="O57" s="20">
        <f t="shared" si="4"/>
        <v>4.8175182481751815</v>
      </c>
      <c r="P57">
        <f t="shared" si="5"/>
        <v>1937.0847902097903</v>
      </c>
    </row>
    <row r="58" spans="1:16">
      <c r="A58" t="s">
        <v>63</v>
      </c>
      <c r="B58" s="2" t="s">
        <v>500</v>
      </c>
      <c r="C58" s="14">
        <v>1.37</v>
      </c>
      <c r="D58">
        <v>750</v>
      </c>
      <c r="E58" s="26">
        <v>1.5</v>
      </c>
      <c r="F58">
        <v>1005</v>
      </c>
      <c r="G58" s="27">
        <v>71.5</v>
      </c>
      <c r="H58" s="24">
        <f t="shared" si="6"/>
        <v>7.7834899176328376</v>
      </c>
      <c r="I58" s="25">
        <f t="shared" si="7"/>
        <v>1.3846454463454973E-3</v>
      </c>
      <c r="J58" s="24">
        <f t="shared" si="2"/>
        <v>4.7807377809577353E-3</v>
      </c>
      <c r="K58" s="14">
        <v>1.8</v>
      </c>
      <c r="L58" s="27">
        <v>6.77</v>
      </c>
      <c r="M58" s="27">
        <v>3.82</v>
      </c>
      <c r="N58" s="4">
        <f t="shared" si="3"/>
        <v>1.7722513089005236</v>
      </c>
      <c r="O58" s="20">
        <f t="shared" si="4"/>
        <v>4.9416058394160576</v>
      </c>
      <c r="P58">
        <f t="shared" si="5"/>
        <v>2010.0775888111887</v>
      </c>
    </row>
    <row r="59" spans="1:16">
      <c r="A59" t="s">
        <v>64</v>
      </c>
      <c r="B59" s="2" t="s">
        <v>499</v>
      </c>
      <c r="C59" s="14">
        <v>1.37</v>
      </c>
      <c r="D59">
        <v>500</v>
      </c>
      <c r="E59" s="26">
        <v>1.5</v>
      </c>
      <c r="F59">
        <v>1005</v>
      </c>
      <c r="G59" s="27">
        <v>71.5</v>
      </c>
      <c r="H59" s="24">
        <f t="shared" si="6"/>
        <v>5.1889932784218917</v>
      </c>
      <c r="I59" s="25">
        <f t="shared" si="7"/>
        <v>6.1539797615355453E-4</v>
      </c>
      <c r="J59" s="24">
        <f t="shared" si="2"/>
        <v>4.7807377809577362E-3</v>
      </c>
      <c r="K59" s="14">
        <v>1.8</v>
      </c>
      <c r="L59" s="27">
        <v>6.55</v>
      </c>
      <c r="M59" s="27">
        <v>3.73</v>
      </c>
      <c r="N59" s="4">
        <f t="shared" si="3"/>
        <v>1.7560321715817695</v>
      </c>
      <c r="O59" s="20">
        <f t="shared" si="4"/>
        <v>4.7810218978102181</v>
      </c>
      <c r="P59">
        <f t="shared" si="5"/>
        <v>1916.4776517482519</v>
      </c>
    </row>
    <row r="60" spans="1:16">
      <c r="A60" t="s">
        <v>65</v>
      </c>
      <c r="B60" s="2" t="s">
        <v>499</v>
      </c>
      <c r="C60" s="14">
        <v>1.37</v>
      </c>
      <c r="D60">
        <v>250</v>
      </c>
      <c r="E60" s="26">
        <v>1.5</v>
      </c>
      <c r="F60">
        <v>1005</v>
      </c>
      <c r="G60" s="27">
        <v>71.5</v>
      </c>
      <c r="H60" s="24">
        <f t="shared" si="6"/>
        <v>2.5944966392109459</v>
      </c>
      <c r="I60" s="25">
        <f t="shared" si="7"/>
        <v>1.5384949403838863E-4</v>
      </c>
      <c r="J60" s="24">
        <f t="shared" si="2"/>
        <v>4.7807377809577362E-3</v>
      </c>
      <c r="K60" s="14">
        <v>1.8</v>
      </c>
      <c r="L60" s="27">
        <v>6.59</v>
      </c>
      <c r="M60" s="27">
        <v>3.78</v>
      </c>
      <c r="N60" s="4">
        <f t="shared" si="3"/>
        <v>1.7433862433862435</v>
      </c>
      <c r="O60" s="20">
        <f t="shared" si="4"/>
        <v>4.8102189781021893</v>
      </c>
      <c r="P60">
        <f t="shared" si="5"/>
        <v>1968.2021202797202</v>
      </c>
    </row>
    <row r="61" spans="1:16">
      <c r="A61" t="s">
        <v>66</v>
      </c>
      <c r="B61" s="2" t="s">
        <v>499</v>
      </c>
      <c r="C61" s="14">
        <v>1.37</v>
      </c>
      <c r="D61">
        <v>100</v>
      </c>
      <c r="E61" s="26">
        <v>1.5</v>
      </c>
      <c r="F61">
        <v>1005</v>
      </c>
      <c r="G61" s="27">
        <v>71.5</v>
      </c>
      <c r="H61" s="24">
        <f t="shared" si="6"/>
        <v>1.0377986556843783</v>
      </c>
      <c r="I61" s="25">
        <f t="shared" si="7"/>
        <v>2.4615919046142179E-5</v>
      </c>
      <c r="J61" s="24">
        <f t="shared" si="2"/>
        <v>4.7807377809577362E-3</v>
      </c>
      <c r="K61" s="14">
        <v>1.8</v>
      </c>
      <c r="L61" s="27">
        <v>6.61</v>
      </c>
      <c r="M61" s="27">
        <v>3.77</v>
      </c>
      <c r="N61" s="4">
        <f t="shared" si="3"/>
        <v>1.7533156498673741</v>
      </c>
      <c r="O61" s="20">
        <f t="shared" si="4"/>
        <v>4.8248175182481754</v>
      </c>
      <c r="P61">
        <f t="shared" si="5"/>
        <v>1957.8021272727276</v>
      </c>
    </row>
    <row r="62" spans="1:16">
      <c r="A62" t="s">
        <v>67</v>
      </c>
      <c r="B62" s="2" t="s">
        <v>499</v>
      </c>
      <c r="C62" s="14">
        <v>0.83</v>
      </c>
      <c r="D62">
        <v>100</v>
      </c>
      <c r="E62" s="26">
        <v>1.5</v>
      </c>
      <c r="F62">
        <v>1005</v>
      </c>
      <c r="G62" s="27">
        <v>71.5</v>
      </c>
      <c r="H62" s="24">
        <f t="shared" si="6"/>
        <v>1.7129929617922872</v>
      </c>
      <c r="I62" s="25">
        <f t="shared" si="7"/>
        <v>1.1069894433950903E-4</v>
      </c>
      <c r="J62" s="24">
        <f t="shared" si="2"/>
        <v>6.1420897909894813E-3</v>
      </c>
      <c r="K62" s="14">
        <v>1.27</v>
      </c>
      <c r="L62" s="27">
        <v>5.08</v>
      </c>
      <c r="M62" s="27">
        <v>3.42</v>
      </c>
      <c r="N62" s="4">
        <f t="shared" si="3"/>
        <v>1.4853801169590644</v>
      </c>
      <c r="O62" s="20">
        <f t="shared" si="4"/>
        <v>6.120481927710844</v>
      </c>
      <c r="P62">
        <f t="shared" si="5"/>
        <v>1611.1586517482519</v>
      </c>
    </row>
    <row r="63" spans="1:16">
      <c r="A63" t="s">
        <v>68</v>
      </c>
      <c r="B63" s="2" t="s">
        <v>499</v>
      </c>
      <c r="C63" s="14">
        <v>0.83</v>
      </c>
      <c r="D63">
        <v>1000</v>
      </c>
      <c r="E63" s="26">
        <v>1.5</v>
      </c>
      <c r="F63">
        <v>1005</v>
      </c>
      <c r="G63" s="27">
        <v>71.5</v>
      </c>
      <c r="H63" s="24">
        <f t="shared" si="6"/>
        <v>17.129929617922873</v>
      </c>
      <c r="I63" s="25">
        <f t="shared" si="7"/>
        <v>1.1069894433950905E-2</v>
      </c>
      <c r="J63" s="24">
        <f t="shared" si="2"/>
        <v>6.1420897909894813E-3</v>
      </c>
      <c r="K63" s="14">
        <v>1.27</v>
      </c>
      <c r="L63" s="27">
        <v>5.25</v>
      </c>
      <c r="M63" s="27">
        <v>3.54</v>
      </c>
      <c r="N63" s="4">
        <f t="shared" si="3"/>
        <v>1.4830508474576272</v>
      </c>
      <c r="O63" s="20">
        <f t="shared" si="4"/>
        <v>6.3253012048192776</v>
      </c>
      <c r="P63">
        <f t="shared" si="5"/>
        <v>1726.2059916083917</v>
      </c>
    </row>
    <row r="64" spans="1:16">
      <c r="A64" t="s">
        <v>69</v>
      </c>
      <c r="B64" s="2" t="s">
        <v>499</v>
      </c>
      <c r="C64" s="14">
        <v>0.83</v>
      </c>
      <c r="D64">
        <v>750</v>
      </c>
      <c r="E64" s="26">
        <v>1.5</v>
      </c>
      <c r="F64">
        <v>1005</v>
      </c>
      <c r="G64" s="27">
        <v>71.5</v>
      </c>
      <c r="H64" s="24">
        <f t="shared" si="6"/>
        <v>12.847447213442155</v>
      </c>
      <c r="I64" s="25">
        <f t="shared" si="7"/>
        <v>6.226815619097382E-3</v>
      </c>
      <c r="J64" s="24">
        <f t="shared" si="2"/>
        <v>6.1420897909894795E-3</v>
      </c>
      <c r="K64" s="14">
        <v>1.27</v>
      </c>
      <c r="L64" s="27">
        <v>5.1100000000000003</v>
      </c>
      <c r="M64" s="27">
        <v>3.44</v>
      </c>
      <c r="N64" s="4">
        <f t="shared" si="3"/>
        <v>1.48546511627907</v>
      </c>
      <c r="O64" s="20">
        <f t="shared" si="4"/>
        <v>6.1566265060240974</v>
      </c>
      <c r="P64">
        <f t="shared" si="5"/>
        <v>1630.057711888112</v>
      </c>
    </row>
    <row r="65" spans="1:16">
      <c r="A65" t="s">
        <v>70</v>
      </c>
      <c r="B65" s="2" t="s">
        <v>499</v>
      </c>
      <c r="C65" s="14">
        <v>0.83</v>
      </c>
      <c r="D65">
        <v>500</v>
      </c>
      <c r="E65" s="26">
        <v>1.5</v>
      </c>
      <c r="F65">
        <v>1005</v>
      </c>
      <c r="G65" s="27">
        <v>71.5</v>
      </c>
      <c r="H65" s="24">
        <f t="shared" si="6"/>
        <v>8.5649648089614363</v>
      </c>
      <c r="I65" s="25">
        <f t="shared" si="7"/>
        <v>2.7674736084877262E-3</v>
      </c>
      <c r="J65" s="24">
        <f t="shared" si="2"/>
        <v>6.1420897909894813E-3</v>
      </c>
      <c r="K65" s="14">
        <v>1.27</v>
      </c>
      <c r="L65" s="27">
        <v>5.17</v>
      </c>
      <c r="M65" s="27">
        <v>3.46</v>
      </c>
      <c r="N65" s="4">
        <f t="shared" si="3"/>
        <v>1.4942196531791907</v>
      </c>
      <c r="O65" s="20">
        <f t="shared" si="4"/>
        <v>6.2289156626506026</v>
      </c>
      <c r="P65">
        <f t="shared" si="5"/>
        <v>1649.0669706293709</v>
      </c>
    </row>
    <row r="66" spans="1:16">
      <c r="A66" t="s">
        <v>71</v>
      </c>
      <c r="B66" s="2" t="s">
        <v>499</v>
      </c>
      <c r="C66" s="14">
        <v>0.83</v>
      </c>
      <c r="D66">
        <v>250</v>
      </c>
      <c r="E66" s="26">
        <v>1.5</v>
      </c>
      <c r="F66">
        <v>1005</v>
      </c>
      <c r="G66" s="27">
        <v>71.5</v>
      </c>
      <c r="H66" s="24">
        <f t="shared" si="6"/>
        <v>4.2824824044807182</v>
      </c>
      <c r="I66" s="25">
        <f t="shared" si="7"/>
        <v>6.9186840212193156E-4</v>
      </c>
      <c r="J66" s="24">
        <f t="shared" si="2"/>
        <v>6.1420897909894813E-3</v>
      </c>
      <c r="K66" s="14">
        <v>1.27</v>
      </c>
      <c r="L66" s="27">
        <v>5.0999999999999996</v>
      </c>
      <c r="M66" s="27">
        <v>3.46</v>
      </c>
      <c r="N66" s="4">
        <f t="shared" si="3"/>
        <v>1.4739884393063583</v>
      </c>
      <c r="O66" s="20">
        <f t="shared" si="4"/>
        <v>6.1445783132530121</v>
      </c>
      <c r="P66">
        <f t="shared" si="5"/>
        <v>1649.0669706293709</v>
      </c>
    </row>
    <row r="67" spans="1:16">
      <c r="A67" t="s">
        <v>72</v>
      </c>
      <c r="B67" s="2" t="s">
        <v>499</v>
      </c>
      <c r="C67" s="14">
        <v>0.25</v>
      </c>
      <c r="D67">
        <v>250</v>
      </c>
      <c r="E67" s="26">
        <v>1.5</v>
      </c>
      <c r="F67">
        <v>1005</v>
      </c>
      <c r="G67" s="27">
        <v>71.5</v>
      </c>
      <c r="H67" s="24">
        <f t="shared" si="6"/>
        <v>14.217841582875984</v>
      </c>
      <c r="I67" s="25">
        <f t="shared" si="7"/>
        <v>2.5318486914821942E-2</v>
      </c>
      <c r="J67" s="24">
        <f t="shared" si="2"/>
        <v>1.1191420215589991E-2</v>
      </c>
      <c r="K67" s="14">
        <v>0.51</v>
      </c>
      <c r="L67" s="27">
        <v>3.26</v>
      </c>
      <c r="M67" s="27">
        <v>2.7</v>
      </c>
      <c r="N67" s="4">
        <f t="shared" si="3"/>
        <v>1.2074074074074073</v>
      </c>
      <c r="O67" s="20">
        <f t="shared" si="4"/>
        <v>13.04</v>
      </c>
      <c r="P67">
        <f t="shared" si="5"/>
        <v>1004.1847552447554</v>
      </c>
    </row>
    <row r="68" spans="1:16">
      <c r="A68" t="s">
        <v>73</v>
      </c>
      <c r="B68" s="2" t="s">
        <v>499</v>
      </c>
      <c r="C68" s="14">
        <v>0.25</v>
      </c>
      <c r="D68">
        <v>250</v>
      </c>
      <c r="E68" s="26">
        <v>1.5</v>
      </c>
      <c r="F68">
        <v>1005</v>
      </c>
      <c r="G68" s="27">
        <v>71.5</v>
      </c>
      <c r="H68" s="24">
        <f t="shared" si="6"/>
        <v>14.217841582875984</v>
      </c>
      <c r="I68" s="25">
        <f t="shared" si="7"/>
        <v>2.5318486914821942E-2</v>
      </c>
      <c r="J68" s="24">
        <f t="shared" ref="J68:J131" si="8">SQRT(I68)/H68</f>
        <v>1.1191420215589991E-2</v>
      </c>
      <c r="K68" s="14">
        <v>0.51</v>
      </c>
      <c r="L68" s="27">
        <v>3.21</v>
      </c>
      <c r="M68" s="27">
        <v>2.64</v>
      </c>
      <c r="N68" s="4">
        <f t="shared" ref="N68:N131" si="9">L68/M68</f>
        <v>1.2159090909090908</v>
      </c>
      <c r="O68" s="20">
        <f t="shared" ref="O68:O131" si="10">L68/C68</f>
        <v>12.84</v>
      </c>
      <c r="P68">
        <f t="shared" ref="P68:P131" si="11">F68*M68*M68*9.8/G68</f>
        <v>960.05021538461563</v>
      </c>
    </row>
    <row r="69" spans="1:16">
      <c r="A69" t="s">
        <v>74</v>
      </c>
      <c r="B69" s="2" t="s">
        <v>499</v>
      </c>
      <c r="C69" s="14">
        <v>0.25</v>
      </c>
      <c r="D69">
        <v>500</v>
      </c>
      <c r="E69" s="26">
        <v>1.5</v>
      </c>
      <c r="F69">
        <v>1005</v>
      </c>
      <c r="G69" s="27">
        <v>71.5</v>
      </c>
      <c r="H69" s="24">
        <f t="shared" si="6"/>
        <v>28.435683165751968</v>
      </c>
      <c r="I69" s="25">
        <f t="shared" si="7"/>
        <v>0.10127394765928777</v>
      </c>
      <c r="J69" s="24">
        <f t="shared" si="8"/>
        <v>1.1191420215589991E-2</v>
      </c>
      <c r="K69" s="14">
        <v>0.51</v>
      </c>
      <c r="L69" s="27">
        <v>3.18</v>
      </c>
      <c r="M69" s="27">
        <v>2.6</v>
      </c>
      <c r="N69" s="4">
        <f t="shared" si="9"/>
        <v>1.2230769230769232</v>
      </c>
      <c r="O69" s="20">
        <f t="shared" si="10"/>
        <v>12.72</v>
      </c>
      <c r="P69">
        <f t="shared" si="11"/>
        <v>931.17818181818188</v>
      </c>
    </row>
    <row r="70" spans="1:16">
      <c r="A70" t="s">
        <v>75</v>
      </c>
      <c r="B70" s="2" t="s">
        <v>499</v>
      </c>
      <c r="C70" s="14">
        <v>0.25</v>
      </c>
      <c r="D70">
        <v>750</v>
      </c>
      <c r="E70" s="26">
        <v>1.5</v>
      </c>
      <c r="F70">
        <v>1005</v>
      </c>
      <c r="G70" s="27">
        <v>71.5</v>
      </c>
      <c r="H70" s="24">
        <f t="shared" si="6"/>
        <v>42.653524748627952</v>
      </c>
      <c r="I70" s="25">
        <f t="shared" si="7"/>
        <v>0.22786638223339742</v>
      </c>
      <c r="J70" s="24">
        <f t="shared" si="8"/>
        <v>1.1191420215589991E-2</v>
      </c>
      <c r="K70" s="14">
        <v>0.51</v>
      </c>
      <c r="L70" s="27">
        <v>3.33</v>
      </c>
      <c r="M70" s="27">
        <v>2.74</v>
      </c>
      <c r="N70" s="4">
        <f t="shared" si="9"/>
        <v>1.2153284671532847</v>
      </c>
      <c r="O70" s="20">
        <f t="shared" si="10"/>
        <v>13.32</v>
      </c>
      <c r="P70">
        <f t="shared" si="11"/>
        <v>1034.158774825175</v>
      </c>
    </row>
    <row r="71" spans="1:16">
      <c r="A71" t="s">
        <v>76</v>
      </c>
      <c r="B71" s="2" t="s">
        <v>499</v>
      </c>
      <c r="C71" s="14">
        <v>0.25</v>
      </c>
      <c r="D71">
        <v>100</v>
      </c>
      <c r="E71" s="26">
        <v>1.5</v>
      </c>
      <c r="F71">
        <v>1005</v>
      </c>
      <c r="G71" s="27">
        <v>71.5</v>
      </c>
      <c r="H71" s="24">
        <f t="shared" si="6"/>
        <v>5.6871366331503941</v>
      </c>
      <c r="I71" s="25">
        <f t="shared" si="7"/>
        <v>4.05095790637151E-3</v>
      </c>
      <c r="J71" s="24">
        <f t="shared" si="8"/>
        <v>1.1191420215589989E-2</v>
      </c>
      <c r="K71" s="14">
        <v>0.51</v>
      </c>
      <c r="L71" s="27">
        <v>3.23</v>
      </c>
      <c r="M71" s="27">
        <v>2.64</v>
      </c>
      <c r="N71" s="4">
        <f t="shared" si="9"/>
        <v>1.2234848484848484</v>
      </c>
      <c r="O71" s="20">
        <f t="shared" si="10"/>
        <v>12.92</v>
      </c>
      <c r="P71">
        <f t="shared" si="11"/>
        <v>960.05021538461563</v>
      </c>
    </row>
    <row r="72" spans="1:16">
      <c r="A72" t="s">
        <v>77</v>
      </c>
      <c r="B72" s="2" t="s">
        <v>499</v>
      </c>
      <c r="C72" s="14">
        <v>0.25</v>
      </c>
      <c r="D72">
        <v>1000</v>
      </c>
      <c r="E72" s="26">
        <v>1.5</v>
      </c>
      <c r="F72">
        <v>1005</v>
      </c>
      <c r="G72" s="27">
        <v>71.5</v>
      </c>
      <c r="H72" s="24">
        <f t="shared" si="6"/>
        <v>56.871366331503935</v>
      </c>
      <c r="I72" s="25">
        <f t="shared" si="7"/>
        <v>0.40509579063715107</v>
      </c>
      <c r="J72" s="24">
        <f t="shared" si="8"/>
        <v>1.1191420215589991E-2</v>
      </c>
      <c r="K72" s="14">
        <v>0.51</v>
      </c>
      <c r="L72" s="27">
        <v>3.23</v>
      </c>
      <c r="M72" s="27">
        <v>2.64</v>
      </c>
      <c r="N72" s="4">
        <f t="shared" si="9"/>
        <v>1.2234848484848484</v>
      </c>
      <c r="O72" s="20">
        <f t="shared" si="10"/>
        <v>12.92</v>
      </c>
      <c r="P72">
        <f t="shared" si="11"/>
        <v>960.05021538461563</v>
      </c>
    </row>
    <row r="73" spans="1:16">
      <c r="A73" t="s">
        <v>78</v>
      </c>
      <c r="B73" s="2" t="s">
        <v>499</v>
      </c>
      <c r="C73" s="14">
        <v>0.1</v>
      </c>
      <c r="D73">
        <v>1000</v>
      </c>
      <c r="E73" s="26">
        <v>1.5</v>
      </c>
      <c r="F73">
        <v>1005</v>
      </c>
      <c r="G73" s="27">
        <v>71.5</v>
      </c>
      <c r="H73" s="24">
        <f t="shared" si="6"/>
        <v>142.17841582875985</v>
      </c>
      <c r="I73" s="25">
        <f t="shared" si="7"/>
        <v>6.3296217287054848</v>
      </c>
      <c r="J73" s="24">
        <f t="shared" si="8"/>
        <v>1.7695189066658505E-2</v>
      </c>
      <c r="K73" s="14">
        <v>0.24</v>
      </c>
      <c r="L73" s="27">
        <v>2.21</v>
      </c>
      <c r="M73" s="27">
        <v>2</v>
      </c>
      <c r="N73" s="4">
        <f t="shared" si="9"/>
        <v>1.105</v>
      </c>
      <c r="O73" s="20">
        <f t="shared" si="10"/>
        <v>22.099999999999998</v>
      </c>
      <c r="P73">
        <f t="shared" si="11"/>
        <v>550.99300699300704</v>
      </c>
    </row>
    <row r="74" spans="1:16">
      <c r="A74" t="s">
        <v>79</v>
      </c>
      <c r="B74" s="2" t="s">
        <v>499</v>
      </c>
      <c r="C74" s="14">
        <v>0.1</v>
      </c>
      <c r="D74">
        <v>750</v>
      </c>
      <c r="E74" s="26">
        <v>1.5</v>
      </c>
      <c r="F74">
        <v>1005</v>
      </c>
      <c r="G74" s="27">
        <v>71.5</v>
      </c>
      <c r="H74" s="24">
        <f t="shared" si="6"/>
        <v>106.63381187156989</v>
      </c>
      <c r="I74" s="25">
        <f t="shared" si="7"/>
        <v>3.5604122223968346</v>
      </c>
      <c r="J74" s="24">
        <f t="shared" si="8"/>
        <v>1.7695189066658505E-2</v>
      </c>
      <c r="K74" s="14">
        <v>0.24</v>
      </c>
      <c r="L74" s="27">
        <v>2.4700000000000002</v>
      </c>
      <c r="M74" s="27">
        <v>2.2200000000000002</v>
      </c>
      <c r="N74" s="4">
        <f t="shared" si="9"/>
        <v>1.1126126126126126</v>
      </c>
      <c r="O74" s="20">
        <f t="shared" si="10"/>
        <v>24.7</v>
      </c>
      <c r="P74">
        <f t="shared" si="11"/>
        <v>678.87848391608418</v>
      </c>
    </row>
    <row r="75" spans="1:16">
      <c r="A75" t="s">
        <v>80</v>
      </c>
      <c r="B75" s="2" t="s">
        <v>499</v>
      </c>
      <c r="C75" s="14">
        <v>0.1</v>
      </c>
      <c r="D75">
        <v>500</v>
      </c>
      <c r="E75" s="26">
        <v>1.5</v>
      </c>
      <c r="F75">
        <v>1005</v>
      </c>
      <c r="G75" s="27">
        <v>71.5</v>
      </c>
      <c r="H75" s="24">
        <f t="shared" si="6"/>
        <v>71.089207914379926</v>
      </c>
      <c r="I75" s="25">
        <f t="shared" si="7"/>
        <v>1.5824054321763712</v>
      </c>
      <c r="J75" s="24">
        <f t="shared" si="8"/>
        <v>1.7695189066658505E-2</v>
      </c>
      <c r="K75" s="14">
        <v>0.24</v>
      </c>
      <c r="L75" s="27">
        <v>2.4700000000000002</v>
      </c>
      <c r="M75" s="27">
        <v>2.23</v>
      </c>
      <c r="N75" s="4">
        <f t="shared" si="9"/>
        <v>1.1076233183856503</v>
      </c>
      <c r="O75" s="20">
        <f t="shared" si="10"/>
        <v>24.7</v>
      </c>
      <c r="P75">
        <f t="shared" si="11"/>
        <v>685.0082811188812</v>
      </c>
    </row>
    <row r="76" spans="1:16">
      <c r="A76" t="s">
        <v>81</v>
      </c>
      <c r="B76" s="2" t="s">
        <v>499</v>
      </c>
      <c r="C76" s="14">
        <v>0.1</v>
      </c>
      <c r="D76">
        <v>250</v>
      </c>
      <c r="E76" s="26">
        <v>1.5</v>
      </c>
      <c r="F76">
        <v>1005</v>
      </c>
      <c r="G76" s="27">
        <v>71.5</v>
      </c>
      <c r="H76" s="24">
        <f t="shared" si="6"/>
        <v>35.544603957189963</v>
      </c>
      <c r="I76" s="25">
        <f t="shared" si="7"/>
        <v>0.3956013580440928</v>
      </c>
      <c r="J76" s="24">
        <f t="shared" si="8"/>
        <v>1.7695189066658505E-2</v>
      </c>
      <c r="K76" s="14">
        <v>0.24</v>
      </c>
      <c r="L76" s="27">
        <v>2.4700000000000002</v>
      </c>
      <c r="M76" s="27">
        <v>2.23</v>
      </c>
      <c r="N76" s="4">
        <f t="shared" si="9"/>
        <v>1.1076233183856503</v>
      </c>
      <c r="O76" s="20">
        <f t="shared" si="10"/>
        <v>24.7</v>
      </c>
      <c r="P76">
        <f t="shared" si="11"/>
        <v>685.0082811188812</v>
      </c>
    </row>
    <row r="77" spans="1:16">
      <c r="A77" t="s">
        <v>82</v>
      </c>
      <c r="B77" s="2" t="s">
        <v>499</v>
      </c>
      <c r="C77" s="14">
        <v>0.1</v>
      </c>
      <c r="D77">
        <v>100</v>
      </c>
      <c r="E77" s="26">
        <v>1.5</v>
      </c>
      <c r="F77">
        <v>1005</v>
      </c>
      <c r="G77" s="27">
        <v>71.5</v>
      </c>
      <c r="H77" s="24">
        <f t="shared" si="6"/>
        <v>14.217841582875984</v>
      </c>
      <c r="I77" s="25">
        <f t="shared" si="7"/>
        <v>6.329621728705484E-2</v>
      </c>
      <c r="J77" s="24">
        <f t="shared" si="8"/>
        <v>1.7695189066658505E-2</v>
      </c>
      <c r="K77" s="14">
        <v>0.24</v>
      </c>
      <c r="L77" s="27">
        <v>2.2999999999999998</v>
      </c>
      <c r="M77" s="27">
        <v>2.0699999999999998</v>
      </c>
      <c r="N77" s="4">
        <f t="shared" si="9"/>
        <v>1.1111111111111112</v>
      </c>
      <c r="O77" s="20">
        <f t="shared" si="10"/>
        <v>22.999999999999996</v>
      </c>
      <c r="P77">
        <f t="shared" si="11"/>
        <v>590.23748391608387</v>
      </c>
    </row>
    <row r="78" spans="1:16" s="16" customFormat="1">
      <c r="A78" s="16" t="s">
        <v>83</v>
      </c>
      <c r="B78" s="16" t="s">
        <v>38</v>
      </c>
      <c r="C78" s="18">
        <v>1.37</v>
      </c>
      <c r="D78" s="16">
        <v>100</v>
      </c>
      <c r="E78" s="36">
        <v>6.8</v>
      </c>
      <c r="F78" s="16">
        <v>1082</v>
      </c>
      <c r="G78" s="32">
        <v>67.400000000000006</v>
      </c>
      <c r="H78" s="39">
        <f t="shared" si="6"/>
        <v>0.24646579136314689</v>
      </c>
      <c r="I78" s="35">
        <f t="shared" si="7"/>
        <v>2.8114049118896578E-5</v>
      </c>
      <c r="J78" s="39">
        <f t="shared" si="8"/>
        <v>2.1513201771659114E-2</v>
      </c>
      <c r="K78" s="18">
        <v>1.8</v>
      </c>
      <c r="L78" s="32">
        <v>6.18</v>
      </c>
      <c r="M78" s="32">
        <v>3.46</v>
      </c>
      <c r="N78" s="4">
        <f t="shared" si="9"/>
        <v>1.7861271676300576</v>
      </c>
      <c r="O78" s="20">
        <f t="shared" si="10"/>
        <v>4.5109489051094886</v>
      </c>
      <c r="P78">
        <f t="shared" si="11"/>
        <v>1883.4133198813054</v>
      </c>
    </row>
    <row r="79" spans="1:16" s="16" customFormat="1">
      <c r="A79" s="16" t="s">
        <v>84</v>
      </c>
      <c r="B79" s="16" t="s">
        <v>38</v>
      </c>
      <c r="C79" s="18">
        <v>1.37</v>
      </c>
      <c r="D79" s="16">
        <v>250</v>
      </c>
      <c r="E79" s="36">
        <v>6.8</v>
      </c>
      <c r="F79" s="16">
        <v>1082</v>
      </c>
      <c r="G79" s="32">
        <v>67.400000000000006</v>
      </c>
      <c r="H79" s="39">
        <f t="shared" si="6"/>
        <v>0.61616447840786726</v>
      </c>
      <c r="I79" s="35">
        <f t="shared" si="7"/>
        <v>1.7571280699310362E-4</v>
      </c>
      <c r="J79" s="39">
        <f t="shared" si="8"/>
        <v>2.1513201771659111E-2</v>
      </c>
      <c r="K79" s="18">
        <v>1.8</v>
      </c>
      <c r="L79" s="32">
        <v>6.51</v>
      </c>
      <c r="M79" s="32">
        <v>3.56</v>
      </c>
      <c r="N79" s="4">
        <f t="shared" si="9"/>
        <v>1.8286516853932584</v>
      </c>
      <c r="O79" s="20">
        <f t="shared" si="10"/>
        <v>4.7518248175182478</v>
      </c>
      <c r="P79">
        <f t="shared" si="11"/>
        <v>1993.8543762611278</v>
      </c>
    </row>
    <row r="80" spans="1:16" s="16" customFormat="1">
      <c r="A80" s="16" t="s">
        <v>85</v>
      </c>
      <c r="B80" s="16" t="s">
        <v>38</v>
      </c>
      <c r="C80" s="18">
        <v>1.37</v>
      </c>
      <c r="D80" s="16">
        <v>500</v>
      </c>
      <c r="E80" s="36">
        <v>6.8</v>
      </c>
      <c r="F80" s="16">
        <v>1082</v>
      </c>
      <c r="G80" s="32">
        <v>67.400000000000006</v>
      </c>
      <c r="H80" s="39">
        <f t="shared" si="6"/>
        <v>1.2323289568157345</v>
      </c>
      <c r="I80" s="35">
        <f t="shared" si="7"/>
        <v>7.0285122797241449E-4</v>
      </c>
      <c r="J80" s="39">
        <f t="shared" si="8"/>
        <v>2.1513201771659111E-2</v>
      </c>
      <c r="K80" s="18">
        <v>1.8</v>
      </c>
      <c r="L80" s="32">
        <v>6.5</v>
      </c>
      <c r="M80" s="32">
        <v>3.51</v>
      </c>
      <c r="N80" s="4">
        <f t="shared" si="9"/>
        <v>1.8518518518518519</v>
      </c>
      <c r="O80" s="20">
        <f t="shared" si="10"/>
        <v>4.7445255474452548</v>
      </c>
      <c r="P80">
        <f t="shared" si="11"/>
        <v>1938.2405394658751</v>
      </c>
    </row>
    <row r="81" spans="1:16" s="16" customFormat="1">
      <c r="A81" s="16" t="s">
        <v>86</v>
      </c>
      <c r="B81" s="16" t="s">
        <v>38</v>
      </c>
      <c r="C81" s="18">
        <v>1.37</v>
      </c>
      <c r="D81" s="16">
        <v>750</v>
      </c>
      <c r="E81" s="36">
        <v>6.8</v>
      </c>
      <c r="F81" s="16">
        <v>1082</v>
      </c>
      <c r="G81" s="32">
        <v>67.400000000000006</v>
      </c>
      <c r="H81" s="39">
        <f t="shared" si="6"/>
        <v>1.8484934352236018</v>
      </c>
      <c r="I81" s="35">
        <f t="shared" si="7"/>
        <v>1.5814152629379321E-3</v>
      </c>
      <c r="J81" s="39">
        <f t="shared" si="8"/>
        <v>2.1513201771659111E-2</v>
      </c>
      <c r="K81" s="18">
        <v>1.8</v>
      </c>
      <c r="L81" s="32">
        <v>6.66</v>
      </c>
      <c r="M81" s="32">
        <v>3.58</v>
      </c>
      <c r="N81" s="4">
        <f t="shared" si="9"/>
        <v>1.8603351955307263</v>
      </c>
      <c r="O81" s="20">
        <f t="shared" si="10"/>
        <v>4.8613138686131387</v>
      </c>
      <c r="P81">
        <f t="shared" si="11"/>
        <v>2016.3201637982195</v>
      </c>
    </row>
    <row r="82" spans="1:16" s="16" customFormat="1">
      <c r="A82" s="16" t="s">
        <v>87</v>
      </c>
      <c r="B82" s="16" t="s">
        <v>38</v>
      </c>
      <c r="C82" s="18">
        <v>1.37</v>
      </c>
      <c r="D82" s="16">
        <v>1000</v>
      </c>
      <c r="E82" s="36">
        <v>6.8</v>
      </c>
      <c r="F82" s="16">
        <v>1082</v>
      </c>
      <c r="G82" s="32">
        <v>67.400000000000006</v>
      </c>
      <c r="H82" s="39">
        <f t="shared" si="6"/>
        <v>2.464657913631469</v>
      </c>
      <c r="I82" s="35">
        <f t="shared" si="7"/>
        <v>2.811404911889658E-3</v>
      </c>
      <c r="J82" s="39">
        <f t="shared" si="8"/>
        <v>2.1513201771659111E-2</v>
      </c>
      <c r="K82" s="18">
        <v>1.8</v>
      </c>
      <c r="L82" s="32">
        <v>6.54</v>
      </c>
      <c r="M82" s="32">
        <v>3.58</v>
      </c>
      <c r="N82" s="4">
        <f t="shared" si="9"/>
        <v>1.8268156424581006</v>
      </c>
      <c r="O82" s="20">
        <f t="shared" si="10"/>
        <v>4.773722627737226</v>
      </c>
      <c r="P82">
        <f t="shared" si="11"/>
        <v>2016.3201637982195</v>
      </c>
    </row>
    <row r="83" spans="1:16" s="16" customFormat="1">
      <c r="A83" s="16" t="s">
        <v>88</v>
      </c>
      <c r="B83" s="16" t="s">
        <v>38</v>
      </c>
      <c r="C83" s="18">
        <v>0.83</v>
      </c>
      <c r="D83" s="16">
        <v>100</v>
      </c>
      <c r="E83" s="36">
        <v>6.8</v>
      </c>
      <c r="F83" s="16">
        <v>1082</v>
      </c>
      <c r="G83" s="32">
        <v>67.400000000000006</v>
      </c>
      <c r="H83" s="39">
        <f t="shared" si="6"/>
        <v>0.40681702911748352</v>
      </c>
      <c r="I83" s="35">
        <f t="shared" si="7"/>
        <v>1.2643019960933369E-4</v>
      </c>
      <c r="J83" s="39">
        <f t="shared" si="8"/>
        <v>2.7639252146293852E-2</v>
      </c>
      <c r="K83" s="18">
        <v>1.27</v>
      </c>
      <c r="L83" s="32">
        <v>5.05</v>
      </c>
      <c r="M83" s="32">
        <v>3.28</v>
      </c>
      <c r="N83" s="4">
        <f t="shared" si="9"/>
        <v>1.5396341463414636</v>
      </c>
      <c r="O83" s="20">
        <f t="shared" si="10"/>
        <v>6.0843373493975905</v>
      </c>
      <c r="P83">
        <f t="shared" si="11"/>
        <v>1692.5485198813053</v>
      </c>
    </row>
    <row r="84" spans="1:16" s="16" customFormat="1">
      <c r="A84" s="16" t="s">
        <v>89</v>
      </c>
      <c r="B84" s="16" t="s">
        <v>38</v>
      </c>
      <c r="C84" s="18">
        <v>0.83</v>
      </c>
      <c r="D84" s="16">
        <v>250</v>
      </c>
      <c r="E84" s="36">
        <v>6.8</v>
      </c>
      <c r="F84" s="16">
        <v>1082</v>
      </c>
      <c r="G84" s="32">
        <v>67.400000000000006</v>
      </c>
      <c r="H84" s="39">
        <f t="shared" si="6"/>
        <v>1.0170425727937089</v>
      </c>
      <c r="I84" s="35">
        <f t="shared" si="7"/>
        <v>7.901887475583357E-4</v>
      </c>
      <c r="J84" s="39">
        <f t="shared" si="8"/>
        <v>2.7639252146293852E-2</v>
      </c>
      <c r="K84" s="18">
        <v>1.27</v>
      </c>
      <c r="L84" s="32">
        <v>5.01</v>
      </c>
      <c r="M84" s="32">
        <v>3.23</v>
      </c>
      <c r="N84" s="4">
        <f t="shared" si="9"/>
        <v>1.5510835913312693</v>
      </c>
      <c r="O84" s="20">
        <f t="shared" si="10"/>
        <v>6.0361445783132535</v>
      </c>
      <c r="P84">
        <f t="shared" si="11"/>
        <v>1641.3397394658755</v>
      </c>
    </row>
    <row r="85" spans="1:16" s="16" customFormat="1">
      <c r="A85" s="16" t="s">
        <v>90</v>
      </c>
      <c r="B85" s="16" t="s">
        <v>38</v>
      </c>
      <c r="C85" s="18">
        <v>0.83</v>
      </c>
      <c r="D85" s="16">
        <v>500</v>
      </c>
      <c r="E85" s="36">
        <v>6.8</v>
      </c>
      <c r="F85" s="16">
        <v>1082</v>
      </c>
      <c r="G85" s="32">
        <v>67.400000000000006</v>
      </c>
      <c r="H85" s="39">
        <f t="shared" si="6"/>
        <v>2.0340851455874178</v>
      </c>
      <c r="I85" s="35">
        <f t="shared" si="7"/>
        <v>3.1607549902333428E-3</v>
      </c>
      <c r="J85" s="39">
        <f t="shared" si="8"/>
        <v>2.7639252146293852E-2</v>
      </c>
      <c r="K85" s="18">
        <v>1.27</v>
      </c>
      <c r="L85" s="32">
        <v>4.99</v>
      </c>
      <c r="M85" s="32">
        <v>3.26</v>
      </c>
      <c r="N85" s="4">
        <f t="shared" si="9"/>
        <v>1.5306748466257671</v>
      </c>
      <c r="O85" s="20">
        <f t="shared" si="10"/>
        <v>6.0120481927710845</v>
      </c>
      <c r="P85">
        <f t="shared" si="11"/>
        <v>1671.9706136498514</v>
      </c>
    </row>
    <row r="86" spans="1:16" s="16" customFormat="1">
      <c r="A86" s="16" t="s">
        <v>91</v>
      </c>
      <c r="B86" s="16" t="s">
        <v>38</v>
      </c>
      <c r="C86" s="18">
        <v>0.83</v>
      </c>
      <c r="D86" s="16">
        <v>750</v>
      </c>
      <c r="E86" s="36">
        <v>6.8</v>
      </c>
      <c r="F86" s="16">
        <v>1082</v>
      </c>
      <c r="G86" s="32">
        <v>67.400000000000006</v>
      </c>
      <c r="H86" s="39">
        <f t="shared" si="6"/>
        <v>3.0511277183811263</v>
      </c>
      <c r="I86" s="35">
        <f t="shared" si="7"/>
        <v>7.1116987280250201E-3</v>
      </c>
      <c r="J86" s="39">
        <f t="shared" si="8"/>
        <v>2.7639252146293852E-2</v>
      </c>
      <c r="K86" s="18">
        <v>1.27</v>
      </c>
      <c r="L86" s="32">
        <v>5.07</v>
      </c>
      <c r="M86" s="32">
        <v>3.26</v>
      </c>
      <c r="N86" s="4">
        <f t="shared" si="9"/>
        <v>1.5552147239263805</v>
      </c>
      <c r="O86" s="20">
        <f t="shared" si="10"/>
        <v>6.1084337349397595</v>
      </c>
      <c r="P86">
        <f t="shared" si="11"/>
        <v>1671.9706136498514</v>
      </c>
    </row>
    <row r="87" spans="1:16" s="16" customFormat="1">
      <c r="A87" s="16" t="s">
        <v>92</v>
      </c>
      <c r="B87" s="16" t="s">
        <v>38</v>
      </c>
      <c r="C87" s="18">
        <v>0.83</v>
      </c>
      <c r="D87" s="16">
        <v>1000</v>
      </c>
      <c r="E87" s="36">
        <v>6.8</v>
      </c>
      <c r="F87" s="16">
        <v>1082</v>
      </c>
      <c r="G87" s="32">
        <v>67.400000000000006</v>
      </c>
      <c r="H87" s="39">
        <f t="shared" si="6"/>
        <v>4.0681702911748356</v>
      </c>
      <c r="I87" s="35">
        <f t="shared" si="7"/>
        <v>1.2643019960933371E-2</v>
      </c>
      <c r="J87" s="39">
        <f t="shared" si="8"/>
        <v>2.7639252146293852E-2</v>
      </c>
      <c r="K87" s="18">
        <v>1.27</v>
      </c>
      <c r="L87" s="32">
        <v>5.16</v>
      </c>
      <c r="M87" s="32">
        <v>3.26</v>
      </c>
      <c r="N87" s="4">
        <f t="shared" si="9"/>
        <v>1.5828220858895707</v>
      </c>
      <c r="O87" s="20">
        <f t="shared" si="10"/>
        <v>6.2168674698795181</v>
      </c>
      <c r="P87">
        <f t="shared" si="11"/>
        <v>1671.9706136498514</v>
      </c>
    </row>
    <row r="88" spans="1:16" s="16" customFormat="1">
      <c r="A88" s="16" t="s">
        <v>93</v>
      </c>
      <c r="B88" s="16" t="s">
        <v>38</v>
      </c>
      <c r="C88" s="18">
        <v>0.25</v>
      </c>
      <c r="D88" s="16">
        <v>1000</v>
      </c>
      <c r="E88" s="36">
        <v>6.8</v>
      </c>
      <c r="F88" s="16">
        <v>1082</v>
      </c>
      <c r="G88" s="32">
        <v>67.400000000000006</v>
      </c>
      <c r="H88" s="39">
        <f t="shared" si="6"/>
        <v>13.506325366700452</v>
      </c>
      <c r="I88" s="35">
        <f t="shared" si="7"/>
        <v>0.46266332508174141</v>
      </c>
      <c r="J88" s="39">
        <f t="shared" si="8"/>
        <v>5.0361114171206339E-2</v>
      </c>
      <c r="K88" s="18">
        <v>0.51</v>
      </c>
      <c r="L88" s="32">
        <v>3.1</v>
      </c>
      <c r="M88" s="32">
        <v>2.5099999999999998</v>
      </c>
      <c r="N88" s="4">
        <f t="shared" si="9"/>
        <v>1.2350597609561755</v>
      </c>
      <c r="O88" s="20">
        <f t="shared" si="10"/>
        <v>12.4</v>
      </c>
      <c r="P88">
        <f t="shared" si="11"/>
        <v>991.15341780415417</v>
      </c>
    </row>
    <row r="89" spans="1:16" s="16" customFormat="1">
      <c r="A89" s="16" t="s">
        <v>94</v>
      </c>
      <c r="B89" s="16" t="s">
        <v>38</v>
      </c>
      <c r="C89" s="18">
        <v>0.25</v>
      </c>
      <c r="D89" s="16">
        <v>750</v>
      </c>
      <c r="E89" s="36">
        <v>6.8</v>
      </c>
      <c r="F89" s="16">
        <v>1082</v>
      </c>
      <c r="G89" s="32">
        <v>67.400000000000006</v>
      </c>
      <c r="H89" s="39">
        <f t="shared" si="6"/>
        <v>10.129744025025339</v>
      </c>
      <c r="I89" s="35">
        <f t="shared" si="7"/>
        <v>0.2602481203584795</v>
      </c>
      <c r="J89" s="39">
        <f t="shared" si="8"/>
        <v>5.0361114171206332E-2</v>
      </c>
      <c r="K89" s="18">
        <v>0.51</v>
      </c>
      <c r="L89" s="32">
        <v>3.09</v>
      </c>
      <c r="M89" s="32">
        <v>2.52</v>
      </c>
      <c r="N89" s="4">
        <f t="shared" si="9"/>
        <v>1.2261904761904761</v>
      </c>
      <c r="O89" s="20">
        <f t="shared" si="10"/>
        <v>12.36</v>
      </c>
      <c r="P89">
        <f t="shared" si="11"/>
        <v>999.06678694362006</v>
      </c>
    </row>
    <row r="90" spans="1:16" s="16" customFormat="1">
      <c r="A90" s="16" t="s">
        <v>95</v>
      </c>
      <c r="B90" s="16" t="s">
        <v>38</v>
      </c>
      <c r="C90" s="18">
        <v>0.25</v>
      </c>
      <c r="D90" s="16">
        <v>500</v>
      </c>
      <c r="E90" s="36">
        <v>6.8</v>
      </c>
      <c r="F90" s="16">
        <v>1082</v>
      </c>
      <c r="G90" s="32">
        <v>67.400000000000006</v>
      </c>
      <c r="H90" s="39">
        <f t="shared" si="6"/>
        <v>6.7531626833502258</v>
      </c>
      <c r="I90" s="35">
        <f t="shared" si="7"/>
        <v>0.11566583127043535</v>
      </c>
      <c r="J90" s="39">
        <f t="shared" si="8"/>
        <v>5.0361114171206339E-2</v>
      </c>
      <c r="K90" s="18">
        <v>0.51</v>
      </c>
      <c r="L90" s="32">
        <v>3.1</v>
      </c>
      <c r="M90" s="32">
        <v>2.52</v>
      </c>
      <c r="N90" s="4">
        <f t="shared" si="9"/>
        <v>1.2301587301587302</v>
      </c>
      <c r="O90" s="20">
        <f t="shared" si="10"/>
        <v>12.4</v>
      </c>
      <c r="P90">
        <f t="shared" si="11"/>
        <v>999.06678694362006</v>
      </c>
    </row>
    <row r="91" spans="1:16" s="16" customFormat="1">
      <c r="A91" s="16" t="s">
        <v>96</v>
      </c>
      <c r="B91" s="16" t="s">
        <v>38</v>
      </c>
      <c r="C91" s="18">
        <v>0.25</v>
      </c>
      <c r="D91" s="16">
        <v>250</v>
      </c>
      <c r="E91" s="36">
        <v>6.8</v>
      </c>
      <c r="F91" s="16">
        <v>1082</v>
      </c>
      <c r="G91" s="32">
        <v>67.400000000000006</v>
      </c>
      <c r="H91" s="39">
        <f t="shared" si="6"/>
        <v>3.3765813416751129</v>
      </c>
      <c r="I91" s="35">
        <f t="shared" si="7"/>
        <v>2.8916457817608838E-2</v>
      </c>
      <c r="J91" s="39">
        <f t="shared" si="8"/>
        <v>5.0361114171206339E-2</v>
      </c>
      <c r="K91" s="18">
        <v>0.51</v>
      </c>
      <c r="L91" s="32">
        <v>3.09</v>
      </c>
      <c r="M91" s="32">
        <v>2.52</v>
      </c>
      <c r="N91" s="4">
        <f t="shared" si="9"/>
        <v>1.2261904761904761</v>
      </c>
      <c r="O91" s="20">
        <f t="shared" si="10"/>
        <v>12.36</v>
      </c>
      <c r="P91">
        <f t="shared" si="11"/>
        <v>999.06678694362006</v>
      </c>
    </row>
    <row r="92" spans="1:16" s="16" customFormat="1">
      <c r="A92" s="16" t="s">
        <v>97</v>
      </c>
      <c r="B92" s="16" t="s">
        <v>38</v>
      </c>
      <c r="C92" s="18">
        <v>0.25</v>
      </c>
      <c r="D92" s="16">
        <v>100</v>
      </c>
      <c r="E92" s="36">
        <v>6.8</v>
      </c>
      <c r="F92" s="16">
        <v>1082</v>
      </c>
      <c r="G92" s="32">
        <v>67.400000000000006</v>
      </c>
      <c r="H92" s="39">
        <f t="shared" si="6"/>
        <v>1.3506325366700451</v>
      </c>
      <c r="I92" s="35">
        <f t="shared" si="7"/>
        <v>4.6266332508174135E-3</v>
      </c>
      <c r="J92" s="39">
        <f t="shared" si="8"/>
        <v>5.0361114171206339E-2</v>
      </c>
      <c r="K92" s="18">
        <v>0.51</v>
      </c>
      <c r="L92" s="32">
        <v>3.11</v>
      </c>
      <c r="M92" s="32">
        <v>2.5299999999999998</v>
      </c>
      <c r="N92" s="4">
        <f t="shared" si="9"/>
        <v>1.2292490118577075</v>
      </c>
      <c r="O92" s="20">
        <f t="shared" si="10"/>
        <v>12.44</v>
      </c>
      <c r="P92">
        <f t="shared" si="11"/>
        <v>1007.0116207715132</v>
      </c>
    </row>
    <row r="93" spans="1:16" s="16" customFormat="1">
      <c r="A93" s="16" t="s">
        <v>98</v>
      </c>
      <c r="B93" s="16" t="s">
        <v>38</v>
      </c>
      <c r="C93" s="18">
        <v>0.1</v>
      </c>
      <c r="D93" s="16">
        <v>1000</v>
      </c>
      <c r="E93" s="36">
        <v>6.8</v>
      </c>
      <c r="F93" s="16">
        <v>1082</v>
      </c>
      <c r="G93" s="32">
        <v>67.400000000000006</v>
      </c>
      <c r="H93" s="39">
        <f t="shared" si="6"/>
        <v>33.765813416751129</v>
      </c>
      <c r="I93" s="35">
        <f t="shared" si="7"/>
        <v>7.2291144544022101</v>
      </c>
      <c r="J93" s="39">
        <f t="shared" si="8"/>
        <v>7.9627913142397491E-2</v>
      </c>
      <c r="K93" s="18">
        <v>0.24</v>
      </c>
      <c r="L93" s="32">
        <v>2.27</v>
      </c>
      <c r="M93" s="32">
        <v>2.0099999999999998</v>
      </c>
      <c r="N93" s="4">
        <f t="shared" si="9"/>
        <v>1.1293532338308458</v>
      </c>
      <c r="O93" s="20">
        <f t="shared" si="10"/>
        <v>22.7</v>
      </c>
      <c r="P93">
        <f t="shared" si="11"/>
        <v>635.60243857566741</v>
      </c>
    </row>
    <row r="94" spans="1:16" s="16" customFormat="1">
      <c r="A94" s="16" t="s">
        <v>99</v>
      </c>
      <c r="B94" s="16" t="s">
        <v>38</v>
      </c>
      <c r="C94" s="18">
        <v>0.1</v>
      </c>
      <c r="D94" s="16">
        <v>750</v>
      </c>
      <c r="E94" s="36">
        <v>6.8</v>
      </c>
      <c r="F94" s="16">
        <v>1082</v>
      </c>
      <c r="G94" s="32">
        <v>67.400000000000006</v>
      </c>
      <c r="H94" s="39">
        <f t="shared" si="6"/>
        <v>25.324360062563343</v>
      </c>
      <c r="I94" s="35">
        <f t="shared" si="7"/>
        <v>4.0663768806012426</v>
      </c>
      <c r="J94" s="39">
        <f t="shared" si="8"/>
        <v>7.9627913142397505E-2</v>
      </c>
      <c r="K94" s="18">
        <v>0.24</v>
      </c>
      <c r="L94" s="32">
        <v>2.1800000000000002</v>
      </c>
      <c r="M94" s="32">
        <v>1.93</v>
      </c>
      <c r="N94" s="4">
        <f t="shared" si="9"/>
        <v>1.1295336787564767</v>
      </c>
      <c r="O94" s="20">
        <f t="shared" si="10"/>
        <v>21.8</v>
      </c>
      <c r="P94">
        <f t="shared" si="11"/>
        <v>586.01408961424318</v>
      </c>
    </row>
    <row r="95" spans="1:16" s="16" customFormat="1">
      <c r="A95" s="16" t="s">
        <v>100</v>
      </c>
      <c r="B95" s="16" t="s">
        <v>38</v>
      </c>
      <c r="C95" s="18">
        <v>0.1</v>
      </c>
      <c r="D95" s="16">
        <v>500</v>
      </c>
      <c r="E95" s="36">
        <v>6.8</v>
      </c>
      <c r="F95" s="16">
        <v>1082</v>
      </c>
      <c r="G95" s="32">
        <v>67.400000000000006</v>
      </c>
      <c r="H95" s="39">
        <f t="shared" si="6"/>
        <v>16.882906708375565</v>
      </c>
      <c r="I95" s="35">
        <f t="shared" si="7"/>
        <v>1.8072786136005525</v>
      </c>
      <c r="J95" s="39">
        <f t="shared" si="8"/>
        <v>7.9627913142397491E-2</v>
      </c>
      <c r="K95" s="18">
        <v>0.24</v>
      </c>
      <c r="L95" s="32">
        <v>2.39</v>
      </c>
      <c r="M95" s="32">
        <v>2.09</v>
      </c>
      <c r="N95" s="4">
        <f t="shared" si="9"/>
        <v>1.1435406698564594</v>
      </c>
      <c r="O95" s="20">
        <f t="shared" si="10"/>
        <v>23.9</v>
      </c>
      <c r="P95">
        <f t="shared" si="11"/>
        <v>687.20452759643899</v>
      </c>
    </row>
    <row r="96" spans="1:16" s="16" customFormat="1">
      <c r="A96" s="16" t="s">
        <v>101</v>
      </c>
      <c r="B96" s="16" t="s">
        <v>38</v>
      </c>
      <c r="C96" s="18">
        <v>0.1</v>
      </c>
      <c r="D96" s="16">
        <v>250</v>
      </c>
      <c r="E96" s="36">
        <v>6.8</v>
      </c>
      <c r="F96" s="16">
        <v>1082</v>
      </c>
      <c r="G96" s="32">
        <v>67.400000000000006</v>
      </c>
      <c r="H96" s="39">
        <f t="shared" si="6"/>
        <v>8.4414533541877823</v>
      </c>
      <c r="I96" s="35">
        <f t="shared" si="7"/>
        <v>0.45181965340013813</v>
      </c>
      <c r="J96" s="39">
        <f t="shared" si="8"/>
        <v>7.9627913142397491E-2</v>
      </c>
      <c r="K96" s="18">
        <v>0.24</v>
      </c>
      <c r="L96" s="32">
        <v>2.2200000000000002</v>
      </c>
      <c r="M96" s="32">
        <v>1.94</v>
      </c>
      <c r="N96" s="4">
        <f t="shared" si="9"/>
        <v>1.1443298969072166</v>
      </c>
      <c r="O96" s="20">
        <f t="shared" si="10"/>
        <v>22.2</v>
      </c>
      <c r="P96">
        <f t="shared" si="11"/>
        <v>592.10250682492574</v>
      </c>
    </row>
    <row r="97" spans="1:16" s="16" customFormat="1">
      <c r="A97" s="16" t="s">
        <v>102</v>
      </c>
      <c r="B97" s="16" t="s">
        <v>38</v>
      </c>
      <c r="C97" s="18">
        <v>0.1</v>
      </c>
      <c r="D97" s="16">
        <v>100</v>
      </c>
      <c r="E97" s="36">
        <v>6.8</v>
      </c>
      <c r="F97" s="16">
        <v>1082</v>
      </c>
      <c r="G97" s="32">
        <v>67.400000000000006</v>
      </c>
      <c r="H97" s="39">
        <f t="shared" si="6"/>
        <v>3.3765813416751125</v>
      </c>
      <c r="I97" s="35">
        <f t="shared" si="7"/>
        <v>7.2291144544022093E-2</v>
      </c>
      <c r="J97" s="39">
        <f t="shared" si="8"/>
        <v>7.9627913142397505E-2</v>
      </c>
      <c r="K97" s="18">
        <v>0.24</v>
      </c>
      <c r="L97" s="32">
        <v>2.21</v>
      </c>
      <c r="M97" s="32">
        <v>1.95</v>
      </c>
      <c r="N97" s="4">
        <f t="shared" si="9"/>
        <v>1.1333333333333333</v>
      </c>
      <c r="O97" s="20">
        <f t="shared" si="10"/>
        <v>22.099999999999998</v>
      </c>
      <c r="P97">
        <f t="shared" si="11"/>
        <v>598.22238872403568</v>
      </c>
    </row>
    <row r="98" spans="1:16" s="16" customFormat="1">
      <c r="A98" s="16" t="s">
        <v>103</v>
      </c>
      <c r="B98" s="16" t="s">
        <v>501</v>
      </c>
      <c r="C98" s="18">
        <v>0.1</v>
      </c>
      <c r="D98" s="16">
        <v>100</v>
      </c>
      <c r="E98" s="36">
        <v>6.8</v>
      </c>
      <c r="F98" s="16">
        <v>1082</v>
      </c>
      <c r="G98" s="32">
        <v>67.400000000000006</v>
      </c>
      <c r="H98" s="39">
        <f t="shared" si="6"/>
        <v>3.3765813416751125</v>
      </c>
      <c r="I98" s="35">
        <f t="shared" si="7"/>
        <v>7.2291144544022093E-2</v>
      </c>
      <c r="J98" s="39">
        <f t="shared" si="8"/>
        <v>7.9627913142397505E-2</v>
      </c>
      <c r="K98" s="18">
        <v>0.24</v>
      </c>
      <c r="L98" s="32">
        <v>2.29</v>
      </c>
      <c r="M98" s="32">
        <v>2.02</v>
      </c>
      <c r="N98" s="4">
        <f t="shared" si="9"/>
        <v>1.1336633663366336</v>
      </c>
      <c r="O98" s="20">
        <f t="shared" si="10"/>
        <v>22.9</v>
      </c>
      <c r="P98">
        <f t="shared" si="11"/>
        <v>641.94257329376853</v>
      </c>
    </row>
    <row r="99" spans="1:16">
      <c r="A99" t="s">
        <v>104</v>
      </c>
      <c r="B99" t="s">
        <v>503</v>
      </c>
      <c r="C99" s="14">
        <v>1.37</v>
      </c>
      <c r="D99">
        <v>1000</v>
      </c>
      <c r="E99" s="26">
        <v>2.8</v>
      </c>
      <c r="F99">
        <v>1033</v>
      </c>
      <c r="G99" s="27">
        <v>69.2</v>
      </c>
      <c r="H99" s="24">
        <f t="shared" si="6"/>
        <v>5.714530977195964</v>
      </c>
      <c r="I99" s="25">
        <f t="shared" si="7"/>
        <v>2.6142689339265215E-3</v>
      </c>
      <c r="J99" s="24">
        <f t="shared" si="8"/>
        <v>8.9473523380634249E-3</v>
      </c>
      <c r="K99" s="14">
        <v>1.8</v>
      </c>
      <c r="L99" s="27">
        <v>6.54</v>
      </c>
      <c r="M99" s="27">
        <v>3.66</v>
      </c>
      <c r="N99" s="4">
        <f t="shared" si="9"/>
        <v>1.7868852459016393</v>
      </c>
      <c r="O99" s="20">
        <f t="shared" si="10"/>
        <v>4.773722627737226</v>
      </c>
      <c r="P99">
        <f t="shared" si="11"/>
        <v>1959.6678763005784</v>
      </c>
    </row>
    <row r="100" spans="1:16">
      <c r="A100" t="s">
        <v>105</v>
      </c>
      <c r="B100" t="s">
        <v>503</v>
      </c>
      <c r="C100" s="14">
        <v>1.37</v>
      </c>
      <c r="D100">
        <v>750</v>
      </c>
      <c r="E100" s="26">
        <v>2.8</v>
      </c>
      <c r="F100">
        <v>1033</v>
      </c>
      <c r="G100" s="27">
        <v>69.2</v>
      </c>
      <c r="H100" s="24">
        <f t="shared" si="6"/>
        <v>4.2858982328969732</v>
      </c>
      <c r="I100" s="25">
        <f t="shared" si="7"/>
        <v>1.470526275333668E-3</v>
      </c>
      <c r="J100" s="24">
        <f t="shared" si="8"/>
        <v>8.9473523380634232E-3</v>
      </c>
      <c r="K100" s="14">
        <v>1.8</v>
      </c>
      <c r="L100" s="27">
        <v>6.55</v>
      </c>
      <c r="M100" s="27">
        <v>3.68</v>
      </c>
      <c r="N100" s="4">
        <f t="shared" si="9"/>
        <v>1.7798913043478259</v>
      </c>
      <c r="O100" s="20">
        <f t="shared" si="10"/>
        <v>4.7810218978102181</v>
      </c>
      <c r="P100">
        <f t="shared" si="11"/>
        <v>1981.1435283236995</v>
      </c>
    </row>
    <row r="101" spans="1:16">
      <c r="A101" t="s">
        <v>106</v>
      </c>
      <c r="B101" t="s">
        <v>502</v>
      </c>
      <c r="C101" s="14">
        <v>1.37</v>
      </c>
      <c r="D101">
        <v>500</v>
      </c>
      <c r="E101" s="26">
        <v>2.8</v>
      </c>
      <c r="F101">
        <v>1033</v>
      </c>
      <c r="G101" s="27">
        <v>69.2</v>
      </c>
      <c r="H101" s="24">
        <f t="shared" si="6"/>
        <v>2.857265488597982</v>
      </c>
      <c r="I101" s="25">
        <f t="shared" si="7"/>
        <v>6.5356723348163038E-4</v>
      </c>
      <c r="J101" s="24">
        <f t="shared" si="8"/>
        <v>8.9473523380634249E-3</v>
      </c>
      <c r="K101" s="14">
        <v>1.8</v>
      </c>
      <c r="L101" s="27">
        <v>6.56</v>
      </c>
      <c r="M101" s="27">
        <v>3.67</v>
      </c>
      <c r="N101" s="4">
        <f t="shared" si="9"/>
        <v>1.7874659400544959</v>
      </c>
      <c r="O101" s="20">
        <f t="shared" si="10"/>
        <v>4.7883211678832112</v>
      </c>
      <c r="P101">
        <f t="shared" si="11"/>
        <v>1970.3910731213873</v>
      </c>
    </row>
    <row r="102" spans="1:16">
      <c r="A102" t="s">
        <v>107</v>
      </c>
      <c r="B102" t="s">
        <v>502</v>
      </c>
      <c r="C102" s="14">
        <v>1.37</v>
      </c>
      <c r="D102">
        <v>250</v>
      </c>
      <c r="E102" s="26">
        <v>2.8</v>
      </c>
      <c r="F102">
        <v>1033</v>
      </c>
      <c r="G102" s="27">
        <v>69.2</v>
      </c>
      <c r="H102" s="24">
        <f t="shared" si="6"/>
        <v>1.428632744298991</v>
      </c>
      <c r="I102" s="25">
        <f t="shared" si="7"/>
        <v>1.6339180837040759E-4</v>
      </c>
      <c r="J102" s="24">
        <f t="shared" si="8"/>
        <v>8.9473523380634249E-3</v>
      </c>
      <c r="K102" s="14">
        <v>1.8</v>
      </c>
      <c r="L102" s="27">
        <v>6.61</v>
      </c>
      <c r="M102" s="27">
        <v>3.69</v>
      </c>
      <c r="N102" s="4">
        <f t="shared" si="9"/>
        <v>1.7913279132791329</v>
      </c>
      <c r="O102" s="20">
        <f t="shared" si="10"/>
        <v>4.8248175182481754</v>
      </c>
      <c r="P102">
        <f t="shared" si="11"/>
        <v>1991.9252419075146</v>
      </c>
    </row>
    <row r="103" spans="1:16">
      <c r="A103" t="s">
        <v>108</v>
      </c>
      <c r="B103" t="s">
        <v>502</v>
      </c>
      <c r="C103" s="14">
        <v>1.37</v>
      </c>
      <c r="D103">
        <v>100</v>
      </c>
      <c r="E103" s="26">
        <v>2.8</v>
      </c>
      <c r="F103">
        <v>1033</v>
      </c>
      <c r="G103" s="27">
        <v>69.2</v>
      </c>
      <c r="H103" s="24">
        <f t="shared" si="6"/>
        <v>0.5714530977195964</v>
      </c>
      <c r="I103" s="25">
        <f t="shared" si="7"/>
        <v>2.6142689339265209E-5</v>
      </c>
      <c r="J103" s="24">
        <f t="shared" si="8"/>
        <v>8.9473523380634232E-3</v>
      </c>
      <c r="K103" s="14">
        <v>1.8</v>
      </c>
      <c r="L103" s="27">
        <v>6.54</v>
      </c>
      <c r="M103" s="27">
        <v>3.7</v>
      </c>
      <c r="N103" s="4">
        <f t="shared" si="9"/>
        <v>1.7675675675675675</v>
      </c>
      <c r="O103" s="20">
        <f t="shared" si="10"/>
        <v>4.773722627737226</v>
      </c>
      <c r="P103">
        <f t="shared" si="11"/>
        <v>2002.7362138728326</v>
      </c>
    </row>
    <row r="104" spans="1:16">
      <c r="A104" t="s">
        <v>109</v>
      </c>
      <c r="B104" t="s">
        <v>502</v>
      </c>
      <c r="C104" s="14">
        <v>0.83</v>
      </c>
      <c r="D104">
        <v>100</v>
      </c>
      <c r="E104" s="26">
        <v>2.8</v>
      </c>
      <c r="F104">
        <v>1033</v>
      </c>
      <c r="G104" s="27">
        <v>69.2</v>
      </c>
      <c r="H104" s="24">
        <f t="shared" si="6"/>
        <v>0.94324186009138222</v>
      </c>
      <c r="I104" s="25">
        <f t="shared" si="7"/>
        <v>1.1756490207120421E-4</v>
      </c>
      <c r="J104" s="24">
        <f t="shared" si="8"/>
        <v>1.1495180026584905E-2</v>
      </c>
      <c r="K104" s="14">
        <v>1.27</v>
      </c>
      <c r="L104" s="27">
        <v>5.08</v>
      </c>
      <c r="M104" s="27">
        <v>3.38</v>
      </c>
      <c r="N104" s="4">
        <f t="shared" si="9"/>
        <v>1.5029585798816569</v>
      </c>
      <c r="O104" s="20">
        <f t="shared" si="10"/>
        <v>6.120481927710844</v>
      </c>
      <c r="P104">
        <f t="shared" si="11"/>
        <v>1671.2972682080924</v>
      </c>
    </row>
    <row r="105" spans="1:16">
      <c r="A105" t="s">
        <v>110</v>
      </c>
      <c r="B105" t="s">
        <v>502</v>
      </c>
      <c r="C105" s="14">
        <v>0.83</v>
      </c>
      <c r="D105">
        <v>250</v>
      </c>
      <c r="E105" s="26">
        <v>2.8</v>
      </c>
      <c r="F105">
        <v>1033</v>
      </c>
      <c r="G105" s="27">
        <v>69.2</v>
      </c>
      <c r="H105" s="24">
        <f t="shared" si="6"/>
        <v>2.3581046502284555</v>
      </c>
      <c r="I105" s="25">
        <f t="shared" si="7"/>
        <v>7.3478063794502643E-4</v>
      </c>
      <c r="J105" s="24">
        <f t="shared" si="8"/>
        <v>1.1495180026584907E-2</v>
      </c>
      <c r="K105" s="14">
        <v>1.27</v>
      </c>
      <c r="L105" s="27">
        <v>5.14</v>
      </c>
      <c r="M105" s="27">
        <v>3.4</v>
      </c>
      <c r="N105" s="4">
        <f t="shared" si="9"/>
        <v>1.5117647058823529</v>
      </c>
      <c r="O105" s="20">
        <f t="shared" si="10"/>
        <v>6.1927710843373491</v>
      </c>
      <c r="P105">
        <f t="shared" si="11"/>
        <v>1691.134450867052</v>
      </c>
    </row>
    <row r="106" spans="1:16">
      <c r="A106" t="s">
        <v>111</v>
      </c>
      <c r="B106" t="s">
        <v>502</v>
      </c>
      <c r="C106" s="14">
        <v>0.83</v>
      </c>
      <c r="D106">
        <v>500</v>
      </c>
      <c r="E106" s="26">
        <v>2.8</v>
      </c>
      <c r="F106">
        <v>1033</v>
      </c>
      <c r="G106" s="27">
        <v>69.2</v>
      </c>
      <c r="H106" s="24">
        <f t="shared" si="6"/>
        <v>4.716209300456911</v>
      </c>
      <c r="I106" s="25">
        <f t="shared" si="7"/>
        <v>2.9391225517801057E-3</v>
      </c>
      <c r="J106" s="24">
        <f t="shared" si="8"/>
        <v>1.1495180026584907E-2</v>
      </c>
      <c r="K106" s="14">
        <v>1.27</v>
      </c>
      <c r="L106" s="27">
        <v>5.16</v>
      </c>
      <c r="M106" s="27">
        <v>3.39</v>
      </c>
      <c r="N106" s="4">
        <f t="shared" si="9"/>
        <v>1.5221238938053097</v>
      </c>
      <c r="O106" s="20">
        <f t="shared" si="10"/>
        <v>6.2168674698795181</v>
      </c>
      <c r="P106">
        <f t="shared" si="11"/>
        <v>1681.2012303468209</v>
      </c>
    </row>
    <row r="107" spans="1:16">
      <c r="A107" t="s">
        <v>112</v>
      </c>
      <c r="B107" t="s">
        <v>502</v>
      </c>
      <c r="C107" s="14">
        <v>0.83</v>
      </c>
      <c r="D107">
        <v>750</v>
      </c>
      <c r="E107" s="26">
        <v>2.8</v>
      </c>
      <c r="F107">
        <v>1033</v>
      </c>
      <c r="G107" s="27">
        <v>69.2</v>
      </c>
      <c r="H107" s="24">
        <f t="shared" si="6"/>
        <v>7.0743139506853661</v>
      </c>
      <c r="I107" s="25">
        <f t="shared" si="7"/>
        <v>6.6130257415052364E-3</v>
      </c>
      <c r="J107" s="24">
        <f t="shared" si="8"/>
        <v>1.1495180026584907E-2</v>
      </c>
      <c r="K107" s="14">
        <v>1.27</v>
      </c>
      <c r="L107" s="27">
        <v>5.2</v>
      </c>
      <c r="M107" s="27">
        <v>3.43</v>
      </c>
      <c r="N107" s="4">
        <f t="shared" si="9"/>
        <v>1.5160349854227404</v>
      </c>
      <c r="O107" s="20">
        <f t="shared" si="10"/>
        <v>6.2650602409638561</v>
      </c>
      <c r="P107">
        <f t="shared" si="11"/>
        <v>1721.1096627167631</v>
      </c>
    </row>
    <row r="108" spans="1:16">
      <c r="A108" t="s">
        <v>113</v>
      </c>
      <c r="B108" t="s">
        <v>502</v>
      </c>
      <c r="C108" s="14">
        <v>0.83</v>
      </c>
      <c r="D108">
        <v>1000</v>
      </c>
      <c r="E108" s="26">
        <v>2.8</v>
      </c>
      <c r="F108">
        <v>1033</v>
      </c>
      <c r="G108" s="27">
        <v>69.2</v>
      </c>
      <c r="H108" s="24">
        <f t="shared" si="6"/>
        <v>9.432418600913822</v>
      </c>
      <c r="I108" s="25">
        <f t="shared" si="7"/>
        <v>1.1756490207120423E-2</v>
      </c>
      <c r="J108" s="24">
        <f t="shared" si="8"/>
        <v>1.1495180026584907E-2</v>
      </c>
      <c r="K108" s="14">
        <v>1.27</v>
      </c>
      <c r="L108" s="27">
        <v>5.19</v>
      </c>
      <c r="M108" s="27">
        <v>3.39</v>
      </c>
      <c r="N108" s="4">
        <f t="shared" si="9"/>
        <v>1.5309734513274338</v>
      </c>
      <c r="O108" s="20">
        <f t="shared" si="10"/>
        <v>6.2530120481927716</v>
      </c>
      <c r="P108">
        <f t="shared" si="11"/>
        <v>1681.2012303468209</v>
      </c>
    </row>
    <row r="109" spans="1:16">
      <c r="A109" t="s">
        <v>114</v>
      </c>
      <c r="B109" t="s">
        <v>502</v>
      </c>
      <c r="C109" s="14">
        <v>0.25</v>
      </c>
      <c r="D109">
        <v>1000</v>
      </c>
      <c r="E109" s="26">
        <v>2.8</v>
      </c>
      <c r="F109">
        <v>1033</v>
      </c>
      <c r="G109" s="27">
        <v>69.2</v>
      </c>
      <c r="H109" s="24">
        <f t="shared" si="6"/>
        <v>31.315629755033882</v>
      </c>
      <c r="I109" s="25">
        <f t="shared" si="7"/>
        <v>0.43022132902776089</v>
      </c>
      <c r="J109" s="24">
        <f t="shared" si="8"/>
        <v>2.0945214822501602E-2</v>
      </c>
      <c r="K109" s="14">
        <v>0.51</v>
      </c>
      <c r="L109" s="27">
        <v>3.34</v>
      </c>
      <c r="M109" s="27">
        <v>2.72</v>
      </c>
      <c r="N109" s="4">
        <f t="shared" si="9"/>
        <v>1.2279411764705881</v>
      </c>
      <c r="O109" s="20">
        <f t="shared" si="10"/>
        <v>13.36</v>
      </c>
      <c r="P109">
        <f t="shared" si="11"/>
        <v>1082.3260485549135</v>
      </c>
    </row>
    <row r="110" spans="1:16">
      <c r="A110" t="s">
        <v>115</v>
      </c>
      <c r="B110" t="s">
        <v>502</v>
      </c>
      <c r="C110" s="14">
        <v>0.25</v>
      </c>
      <c r="D110">
        <v>750</v>
      </c>
      <c r="E110" s="26">
        <v>2.8</v>
      </c>
      <c r="F110">
        <v>1033</v>
      </c>
      <c r="G110" s="27">
        <v>69.2</v>
      </c>
      <c r="H110" s="24">
        <f t="shared" si="6"/>
        <v>23.486722316275412</v>
      </c>
      <c r="I110" s="25">
        <f t="shared" si="7"/>
        <v>0.24199949757811545</v>
      </c>
      <c r="J110" s="24">
        <f t="shared" si="8"/>
        <v>2.0945214822501598E-2</v>
      </c>
      <c r="K110" s="14">
        <v>0.51</v>
      </c>
      <c r="L110" s="27">
        <v>3.35</v>
      </c>
      <c r="M110" s="27">
        <v>2.72</v>
      </c>
      <c r="N110" s="4">
        <f t="shared" si="9"/>
        <v>1.2316176470588234</v>
      </c>
      <c r="O110" s="20">
        <f t="shared" si="10"/>
        <v>13.4</v>
      </c>
      <c r="P110">
        <f t="shared" si="11"/>
        <v>1082.3260485549135</v>
      </c>
    </row>
    <row r="111" spans="1:16">
      <c r="A111" t="s">
        <v>116</v>
      </c>
      <c r="B111" t="s">
        <v>502</v>
      </c>
      <c r="C111" s="14">
        <v>0.25</v>
      </c>
      <c r="D111">
        <v>500</v>
      </c>
      <c r="E111" s="26">
        <v>2.8</v>
      </c>
      <c r="F111">
        <v>1033</v>
      </c>
      <c r="G111" s="27">
        <v>69.2</v>
      </c>
      <c r="H111" s="24">
        <f t="shared" si="6"/>
        <v>15.657814877516941</v>
      </c>
      <c r="I111" s="25">
        <f t="shared" si="7"/>
        <v>0.10755533225694022</v>
      </c>
      <c r="J111" s="24">
        <f t="shared" si="8"/>
        <v>2.0945214822501602E-2</v>
      </c>
      <c r="K111" s="14">
        <v>0.51</v>
      </c>
      <c r="L111" s="27">
        <v>3.32</v>
      </c>
      <c r="M111" s="27">
        <v>2.72</v>
      </c>
      <c r="N111" s="4">
        <f t="shared" si="9"/>
        <v>1.2205882352941175</v>
      </c>
      <c r="O111" s="20">
        <f t="shared" si="10"/>
        <v>13.28</v>
      </c>
      <c r="P111">
        <f t="shared" si="11"/>
        <v>1082.3260485549135</v>
      </c>
    </row>
    <row r="112" spans="1:16">
      <c r="A112" t="s">
        <v>117</v>
      </c>
      <c r="B112" t="s">
        <v>502</v>
      </c>
      <c r="C112" s="14">
        <v>0.25</v>
      </c>
      <c r="D112">
        <v>250</v>
      </c>
      <c r="E112" s="26">
        <v>2.8</v>
      </c>
      <c r="F112">
        <v>1033</v>
      </c>
      <c r="G112" s="27">
        <v>69.2</v>
      </c>
      <c r="H112" s="24">
        <f t="shared" si="6"/>
        <v>7.8289074387584705</v>
      </c>
      <c r="I112" s="25">
        <f t="shared" si="7"/>
        <v>2.6888833064235056E-2</v>
      </c>
      <c r="J112" s="24">
        <f t="shared" si="8"/>
        <v>2.0945214822501602E-2</v>
      </c>
      <c r="K112" s="14">
        <v>0.51</v>
      </c>
      <c r="L112" s="27">
        <v>3.36</v>
      </c>
      <c r="M112" s="27">
        <v>2.71</v>
      </c>
      <c r="N112" s="4">
        <f t="shared" si="9"/>
        <v>1.2398523985239851</v>
      </c>
      <c r="O112" s="20">
        <f t="shared" si="10"/>
        <v>13.44</v>
      </c>
      <c r="P112">
        <f t="shared" si="11"/>
        <v>1074.3823979768786</v>
      </c>
    </row>
    <row r="113" spans="1:16">
      <c r="A113" t="s">
        <v>118</v>
      </c>
      <c r="B113" t="s">
        <v>502</v>
      </c>
      <c r="C113" s="14">
        <v>0.25</v>
      </c>
      <c r="D113">
        <v>100</v>
      </c>
      <c r="E113" s="26">
        <v>2.8</v>
      </c>
      <c r="F113">
        <v>1033</v>
      </c>
      <c r="G113" s="27">
        <v>69.2</v>
      </c>
      <c r="H113" s="24">
        <f t="shared" si="6"/>
        <v>3.1315629755033885</v>
      </c>
      <c r="I113" s="25">
        <f t="shared" si="7"/>
        <v>4.3022132902776084E-3</v>
      </c>
      <c r="J113" s="24">
        <f t="shared" si="8"/>
        <v>2.0945214822501602E-2</v>
      </c>
      <c r="K113" s="14">
        <v>0.51</v>
      </c>
      <c r="L113" s="27">
        <v>3.32</v>
      </c>
      <c r="M113" s="27">
        <v>2.69</v>
      </c>
      <c r="N113" s="4">
        <f t="shared" si="9"/>
        <v>1.2342007434944238</v>
      </c>
      <c r="O113" s="20">
        <f t="shared" si="10"/>
        <v>13.28</v>
      </c>
      <c r="P113">
        <f t="shared" si="11"/>
        <v>1058.582871965318</v>
      </c>
    </row>
    <row r="114" spans="1:16">
      <c r="A114" t="s">
        <v>119</v>
      </c>
      <c r="B114" t="s">
        <v>502</v>
      </c>
      <c r="C114" s="14">
        <v>0.1</v>
      </c>
      <c r="D114">
        <v>100</v>
      </c>
      <c r="E114" s="26">
        <v>2.8</v>
      </c>
      <c r="F114">
        <v>1033</v>
      </c>
      <c r="G114" s="27">
        <v>69.2</v>
      </c>
      <c r="H114" s="24">
        <f t="shared" ref="H114:H170" si="12">(4/60*F114*D114*10^(-9))/(PI()*C114*E114*10^(-6))</f>
        <v>7.8289074387584714</v>
      </c>
      <c r="I114" s="25">
        <f t="shared" ref="I114:I170" si="13">(16 * F114 * (D114 * 10^-9 / 60)^2) / (PI()^2 * (C114 * 10^-3)^3 * (G114 * 10^-3))</f>
        <v>6.7222082660587643E-2</v>
      </c>
      <c r="J114" s="24">
        <f t="shared" si="8"/>
        <v>3.3117292460312205E-2</v>
      </c>
      <c r="K114" s="14">
        <v>0.24</v>
      </c>
      <c r="L114" s="27">
        <v>2.2400000000000002</v>
      </c>
      <c r="M114" s="27">
        <v>2.02</v>
      </c>
      <c r="N114" s="4">
        <f t="shared" si="9"/>
        <v>1.108910891089109</v>
      </c>
      <c r="O114" s="20">
        <f t="shared" si="10"/>
        <v>22.400000000000002</v>
      </c>
      <c r="P114">
        <f t="shared" si="11"/>
        <v>596.92949942196526</v>
      </c>
    </row>
    <row r="115" spans="1:16">
      <c r="A115" t="s">
        <v>120</v>
      </c>
      <c r="B115" t="s">
        <v>502</v>
      </c>
      <c r="C115" s="14">
        <v>0.1</v>
      </c>
      <c r="D115">
        <v>250</v>
      </c>
      <c r="E115" s="26">
        <v>2.8</v>
      </c>
      <c r="F115">
        <v>1033</v>
      </c>
      <c r="G115" s="27">
        <v>69.2</v>
      </c>
      <c r="H115" s="24">
        <f t="shared" si="12"/>
        <v>19.572268596896176</v>
      </c>
      <c r="I115" s="25">
        <f t="shared" si="13"/>
        <v>0.42013801662867284</v>
      </c>
      <c r="J115" s="24">
        <f t="shared" si="8"/>
        <v>3.3117292460312212E-2</v>
      </c>
      <c r="K115" s="14">
        <v>0.24</v>
      </c>
      <c r="L115" s="27">
        <v>2.33</v>
      </c>
      <c r="M115" s="27">
        <v>2.09</v>
      </c>
      <c r="N115" s="4">
        <f t="shared" si="9"/>
        <v>1.1148325358851676</v>
      </c>
      <c r="O115" s="20">
        <f t="shared" si="10"/>
        <v>23.3</v>
      </c>
      <c r="P115">
        <f t="shared" si="11"/>
        <v>639.01768121387272</v>
      </c>
    </row>
    <row r="116" spans="1:16">
      <c r="A116" t="s">
        <v>121</v>
      </c>
      <c r="B116" t="s">
        <v>502</v>
      </c>
      <c r="C116" s="14">
        <v>0.1</v>
      </c>
      <c r="D116">
        <v>500</v>
      </c>
      <c r="E116" s="26">
        <v>2.8</v>
      </c>
      <c r="F116">
        <v>1033</v>
      </c>
      <c r="G116" s="27">
        <v>69.2</v>
      </c>
      <c r="H116" s="24">
        <f t="shared" si="12"/>
        <v>39.144537193792353</v>
      </c>
      <c r="I116" s="25">
        <f t="shared" si="13"/>
        <v>1.6805520665146914</v>
      </c>
      <c r="J116" s="24">
        <f t="shared" si="8"/>
        <v>3.3117292460312212E-2</v>
      </c>
      <c r="K116" s="14">
        <v>0.24</v>
      </c>
      <c r="L116" s="27">
        <v>2.25</v>
      </c>
      <c r="M116" s="27">
        <v>2.02</v>
      </c>
      <c r="N116" s="4">
        <f t="shared" si="9"/>
        <v>1.113861386138614</v>
      </c>
      <c r="O116" s="20">
        <f t="shared" si="10"/>
        <v>22.5</v>
      </c>
      <c r="P116">
        <f t="shared" si="11"/>
        <v>596.92949942196526</v>
      </c>
    </row>
    <row r="117" spans="1:16">
      <c r="A117" t="s">
        <v>122</v>
      </c>
      <c r="B117" t="s">
        <v>502</v>
      </c>
      <c r="C117" s="14">
        <v>0.1</v>
      </c>
      <c r="D117">
        <v>750</v>
      </c>
      <c r="E117" s="26">
        <v>2.8</v>
      </c>
      <c r="F117">
        <v>1033</v>
      </c>
      <c r="G117" s="27">
        <v>69.2</v>
      </c>
      <c r="H117" s="24">
        <f t="shared" si="12"/>
        <v>58.716805790688532</v>
      </c>
      <c r="I117" s="25">
        <f t="shared" si="13"/>
        <v>3.7812421496580546</v>
      </c>
      <c r="J117" s="24">
        <f t="shared" si="8"/>
        <v>3.3117292460312205E-2</v>
      </c>
      <c r="K117" s="14">
        <v>0.24</v>
      </c>
      <c r="L117" s="27">
        <v>2.21</v>
      </c>
      <c r="M117" s="27">
        <v>1.96</v>
      </c>
      <c r="N117" s="4">
        <f t="shared" si="9"/>
        <v>1.1275510204081634</v>
      </c>
      <c r="O117" s="20">
        <f t="shared" si="10"/>
        <v>22.099999999999998</v>
      </c>
      <c r="P117">
        <f t="shared" si="11"/>
        <v>561.99499190751453</v>
      </c>
    </row>
    <row r="118" spans="1:16">
      <c r="A118" t="s">
        <v>123</v>
      </c>
      <c r="B118" t="s">
        <v>502</v>
      </c>
      <c r="C118" s="14">
        <v>0.1</v>
      </c>
      <c r="D118">
        <v>750</v>
      </c>
      <c r="E118" s="26">
        <v>2.8</v>
      </c>
      <c r="F118">
        <v>1033</v>
      </c>
      <c r="G118" s="27">
        <v>69.2</v>
      </c>
      <c r="H118" s="24">
        <f t="shared" si="12"/>
        <v>58.716805790688532</v>
      </c>
      <c r="I118" s="25">
        <f t="shared" si="13"/>
        <v>3.7812421496580546</v>
      </c>
      <c r="J118" s="24">
        <f t="shared" si="8"/>
        <v>3.3117292460312205E-2</v>
      </c>
      <c r="K118" s="14">
        <v>0.24</v>
      </c>
      <c r="L118" s="27">
        <v>2.21</v>
      </c>
      <c r="M118" s="27">
        <v>1.96</v>
      </c>
      <c r="N118" s="4">
        <f t="shared" si="9"/>
        <v>1.1275510204081634</v>
      </c>
      <c r="O118" s="20">
        <f t="shared" si="10"/>
        <v>22.099999999999998</v>
      </c>
      <c r="P118">
        <f t="shared" si="11"/>
        <v>561.99499190751453</v>
      </c>
    </row>
    <row r="119" spans="1:16">
      <c r="A119" t="s">
        <v>124</v>
      </c>
      <c r="B119" t="s">
        <v>502</v>
      </c>
      <c r="C119" s="14">
        <v>0.1</v>
      </c>
      <c r="D119">
        <v>1000</v>
      </c>
      <c r="E119" s="26">
        <v>2.8</v>
      </c>
      <c r="F119">
        <v>1033</v>
      </c>
      <c r="G119" s="27">
        <v>69.2</v>
      </c>
      <c r="H119" s="24">
        <f t="shared" si="12"/>
        <v>78.289074387584705</v>
      </c>
      <c r="I119" s="25">
        <f t="shared" si="13"/>
        <v>6.7222082660587654</v>
      </c>
      <c r="J119" s="24">
        <f t="shared" si="8"/>
        <v>3.3117292460312212E-2</v>
      </c>
      <c r="K119" s="14">
        <v>0.24</v>
      </c>
      <c r="L119" s="27">
        <v>2.27</v>
      </c>
      <c r="M119" s="27">
        <v>2.02</v>
      </c>
      <c r="N119" s="4">
        <f t="shared" si="9"/>
        <v>1.1237623762376239</v>
      </c>
      <c r="O119" s="20">
        <f t="shared" si="10"/>
        <v>22.7</v>
      </c>
      <c r="P119">
        <f t="shared" si="11"/>
        <v>596.92949942196526</v>
      </c>
    </row>
    <row r="120" spans="1:16">
      <c r="A120" t="s">
        <v>125</v>
      </c>
      <c r="B120" t="s">
        <v>503</v>
      </c>
      <c r="C120" s="14">
        <v>0.1</v>
      </c>
      <c r="D120">
        <v>750</v>
      </c>
      <c r="E120" s="26">
        <v>2.8</v>
      </c>
      <c r="F120">
        <v>1033</v>
      </c>
      <c r="G120" s="27">
        <v>69.2</v>
      </c>
      <c r="H120" s="24">
        <f t="shared" si="12"/>
        <v>58.716805790688532</v>
      </c>
      <c r="I120" s="25">
        <f t="shared" si="13"/>
        <v>3.7812421496580546</v>
      </c>
      <c r="J120" s="24">
        <f t="shared" si="8"/>
        <v>3.3117292460312205E-2</v>
      </c>
      <c r="K120" s="14">
        <v>0.24</v>
      </c>
      <c r="L120" s="27">
        <v>2.2200000000000002</v>
      </c>
      <c r="M120" s="27">
        <v>1.96</v>
      </c>
      <c r="N120" s="4">
        <f t="shared" si="9"/>
        <v>1.1326530612244898</v>
      </c>
      <c r="O120" s="20">
        <f t="shared" si="10"/>
        <v>22.2</v>
      </c>
      <c r="P120">
        <f t="shared" si="11"/>
        <v>561.99499190751453</v>
      </c>
    </row>
    <row r="121" spans="1:16">
      <c r="A121" t="s">
        <v>126</v>
      </c>
      <c r="B121" t="s">
        <v>505</v>
      </c>
      <c r="C121" s="14">
        <v>1.37</v>
      </c>
      <c r="D121">
        <v>1000</v>
      </c>
      <c r="E121" s="26">
        <v>32.9</v>
      </c>
      <c r="F121">
        <v>1156</v>
      </c>
      <c r="G121" s="27">
        <v>65.8</v>
      </c>
      <c r="H121" s="24">
        <f t="shared" si="12"/>
        <v>0.54425225512459341</v>
      </c>
      <c r="I121" s="25">
        <f t="shared" si="13"/>
        <v>3.0767200061090237E-3</v>
      </c>
      <c r="J121" s="24">
        <f t="shared" si="8"/>
        <v>0.10191632393703294</v>
      </c>
      <c r="K121" s="14">
        <v>1.8</v>
      </c>
      <c r="L121" s="27">
        <v>6.73</v>
      </c>
      <c r="M121" s="27">
        <v>3.49</v>
      </c>
      <c r="N121" s="4">
        <f t="shared" si="9"/>
        <v>1.9283667621776504</v>
      </c>
      <c r="O121" s="20">
        <f t="shared" si="10"/>
        <v>4.9124087591240873</v>
      </c>
      <c r="P121">
        <f t="shared" si="11"/>
        <v>2097.050408510639</v>
      </c>
    </row>
    <row r="122" spans="1:16">
      <c r="A122" t="s">
        <v>127</v>
      </c>
      <c r="B122" t="s">
        <v>505</v>
      </c>
      <c r="C122" s="14">
        <v>1.37</v>
      </c>
      <c r="D122">
        <v>750</v>
      </c>
      <c r="E122" s="26">
        <v>32.9</v>
      </c>
      <c r="F122">
        <v>1156</v>
      </c>
      <c r="G122" s="27">
        <v>65.8</v>
      </c>
      <c r="H122" s="24">
        <f t="shared" si="12"/>
        <v>0.40818919134344506</v>
      </c>
      <c r="I122" s="25">
        <f t="shared" si="13"/>
        <v>1.7306550034363252E-3</v>
      </c>
      <c r="J122" s="24">
        <f t="shared" si="8"/>
        <v>0.10191632393703293</v>
      </c>
      <c r="K122" s="14">
        <v>1.8</v>
      </c>
      <c r="L122" s="27">
        <v>6.73</v>
      </c>
      <c r="M122" s="27">
        <v>3.5</v>
      </c>
      <c r="N122" s="4">
        <f t="shared" si="9"/>
        <v>1.922857142857143</v>
      </c>
      <c r="O122" s="20">
        <f t="shared" si="10"/>
        <v>4.9124087591240873</v>
      </c>
      <c r="P122">
        <f t="shared" si="11"/>
        <v>2109.0851063829791</v>
      </c>
    </row>
    <row r="123" spans="1:16">
      <c r="A123" t="s">
        <v>128</v>
      </c>
      <c r="B123" t="s">
        <v>504</v>
      </c>
      <c r="C123" s="14">
        <v>1.37</v>
      </c>
      <c r="D123">
        <v>500</v>
      </c>
      <c r="E123" s="26">
        <v>32.9</v>
      </c>
      <c r="F123">
        <v>1156</v>
      </c>
      <c r="G123" s="27">
        <v>65.8</v>
      </c>
      <c r="H123" s="24">
        <f t="shared" si="12"/>
        <v>0.2721261275622967</v>
      </c>
      <c r="I123" s="25">
        <f t="shared" si="13"/>
        <v>7.6918000152725592E-4</v>
      </c>
      <c r="J123" s="24">
        <f t="shared" si="8"/>
        <v>0.10191632393703294</v>
      </c>
      <c r="K123" s="14">
        <v>1.8</v>
      </c>
      <c r="L123" s="27">
        <v>6.47</v>
      </c>
      <c r="M123" s="27">
        <v>3.38</v>
      </c>
      <c r="N123" s="4">
        <f t="shared" si="9"/>
        <v>1.9142011834319526</v>
      </c>
      <c r="O123" s="20">
        <f t="shared" si="10"/>
        <v>4.7226277372262766</v>
      </c>
      <c r="P123">
        <f t="shared" si="11"/>
        <v>1966.9413787234043</v>
      </c>
    </row>
    <row r="124" spans="1:16">
      <c r="A124" t="s">
        <v>129</v>
      </c>
      <c r="B124" t="s">
        <v>504</v>
      </c>
      <c r="C124" s="14">
        <v>1.37</v>
      </c>
      <c r="D124">
        <v>250</v>
      </c>
      <c r="E124" s="26">
        <v>32.9</v>
      </c>
      <c r="F124">
        <v>1156</v>
      </c>
      <c r="G124" s="27">
        <v>65.8</v>
      </c>
      <c r="H124" s="24">
        <f t="shared" si="12"/>
        <v>0.13606306378114835</v>
      </c>
      <c r="I124" s="25">
        <f t="shared" si="13"/>
        <v>1.9229500038181398E-4</v>
      </c>
      <c r="J124" s="24">
        <f t="shared" si="8"/>
        <v>0.10191632393703294</v>
      </c>
      <c r="K124" s="14">
        <v>1.8</v>
      </c>
      <c r="L124" s="27">
        <v>6.41</v>
      </c>
      <c r="M124" s="27">
        <v>3.38</v>
      </c>
      <c r="N124" s="4">
        <f t="shared" si="9"/>
        <v>1.8964497041420119</v>
      </c>
      <c r="O124" s="20">
        <f t="shared" si="10"/>
        <v>4.6788321167883211</v>
      </c>
      <c r="P124">
        <f t="shared" si="11"/>
        <v>1966.9413787234043</v>
      </c>
    </row>
    <row r="125" spans="1:16">
      <c r="A125" t="s">
        <v>130</v>
      </c>
      <c r="B125" t="s">
        <v>504</v>
      </c>
      <c r="C125" s="14">
        <v>1.37</v>
      </c>
      <c r="D125">
        <v>100</v>
      </c>
      <c r="E125" s="26">
        <v>32.9</v>
      </c>
      <c r="F125">
        <v>1156</v>
      </c>
      <c r="G125" s="27">
        <v>65.8</v>
      </c>
      <c r="H125" s="24">
        <f t="shared" si="12"/>
        <v>5.442522551245934E-2</v>
      </c>
      <c r="I125" s="25">
        <f t="shared" si="13"/>
        <v>3.0767200061090231E-5</v>
      </c>
      <c r="J125" s="24">
        <f t="shared" si="8"/>
        <v>0.10191632393703294</v>
      </c>
      <c r="K125" s="14">
        <v>1.8</v>
      </c>
      <c r="L125" s="27">
        <v>6.44</v>
      </c>
      <c r="M125" s="27">
        <v>3.39</v>
      </c>
      <c r="N125" s="4">
        <f t="shared" si="9"/>
        <v>1.8997050147492627</v>
      </c>
      <c r="O125" s="20">
        <f t="shared" si="10"/>
        <v>4.7007299270072993</v>
      </c>
      <c r="P125">
        <f t="shared" si="11"/>
        <v>1978.59730212766</v>
      </c>
    </row>
    <row r="126" spans="1:16">
      <c r="A126" t="s">
        <v>131</v>
      </c>
      <c r="B126" t="s">
        <v>504</v>
      </c>
      <c r="C126" s="14">
        <v>0.83</v>
      </c>
      <c r="D126">
        <v>100</v>
      </c>
      <c r="E126" s="26">
        <v>32.9</v>
      </c>
      <c r="F126">
        <v>1156</v>
      </c>
      <c r="G126" s="27">
        <v>65.8</v>
      </c>
      <c r="H126" s="24">
        <f t="shared" si="12"/>
        <v>8.9834408375987121E-2</v>
      </c>
      <c r="I126" s="25">
        <f t="shared" si="13"/>
        <v>1.3836154403420255E-4</v>
      </c>
      <c r="J126" s="24">
        <f t="shared" si="8"/>
        <v>0.13093778439013715</v>
      </c>
      <c r="K126" s="14">
        <v>1.27</v>
      </c>
      <c r="L126" s="27">
        <v>5.07</v>
      </c>
      <c r="M126" s="27">
        <v>3.16</v>
      </c>
      <c r="N126" s="4">
        <f t="shared" si="9"/>
        <v>1.6044303797468356</v>
      </c>
      <c r="O126" s="20">
        <f t="shared" si="10"/>
        <v>6.1084337349397595</v>
      </c>
      <c r="P126">
        <f t="shared" si="11"/>
        <v>1719.222876595745</v>
      </c>
    </row>
    <row r="127" spans="1:16">
      <c r="A127" t="s">
        <v>132</v>
      </c>
      <c r="B127" t="s">
        <v>504</v>
      </c>
      <c r="C127" s="14">
        <v>0.83</v>
      </c>
      <c r="D127">
        <v>250</v>
      </c>
      <c r="E127" s="26">
        <v>32.9</v>
      </c>
      <c r="F127">
        <v>1156</v>
      </c>
      <c r="G127" s="27">
        <v>65.8</v>
      </c>
      <c r="H127" s="24">
        <f t="shared" si="12"/>
        <v>0.2245860209399678</v>
      </c>
      <c r="I127" s="25">
        <f t="shared" si="13"/>
        <v>8.6475965021376607E-4</v>
      </c>
      <c r="J127" s="24">
        <f t="shared" si="8"/>
        <v>0.13093778439013717</v>
      </c>
      <c r="K127" s="14">
        <v>1.27</v>
      </c>
      <c r="L127" s="27">
        <v>5.09</v>
      </c>
      <c r="M127" s="27">
        <v>3.19</v>
      </c>
      <c r="N127" s="4">
        <f t="shared" si="9"/>
        <v>1.5956112852664577</v>
      </c>
      <c r="O127" s="20">
        <f t="shared" si="10"/>
        <v>6.1325301204819276</v>
      </c>
      <c r="P127">
        <f t="shared" si="11"/>
        <v>1752.0213021276597</v>
      </c>
    </row>
    <row r="128" spans="1:16">
      <c r="A128" t="s">
        <v>133</v>
      </c>
      <c r="B128" t="s">
        <v>504</v>
      </c>
      <c r="C128" s="14">
        <v>0.83</v>
      </c>
      <c r="D128">
        <v>500</v>
      </c>
      <c r="E128" s="26">
        <v>32.9</v>
      </c>
      <c r="F128">
        <v>1156</v>
      </c>
      <c r="G128" s="27">
        <v>65.8</v>
      </c>
      <c r="H128" s="24">
        <f t="shared" si="12"/>
        <v>0.44917204187993559</v>
      </c>
      <c r="I128" s="25">
        <f t="shared" si="13"/>
        <v>3.4590386008550643E-3</v>
      </c>
      <c r="J128" s="24">
        <f t="shared" si="8"/>
        <v>0.13093778439013717</v>
      </c>
      <c r="K128" s="14">
        <v>1.27</v>
      </c>
      <c r="L128" s="27">
        <v>5.1100000000000003</v>
      </c>
      <c r="M128" s="27">
        <v>3.22</v>
      </c>
      <c r="N128" s="4">
        <f t="shared" si="9"/>
        <v>1.5869565217391304</v>
      </c>
      <c r="O128" s="20">
        <f t="shared" si="10"/>
        <v>6.1566265060240974</v>
      </c>
      <c r="P128">
        <f t="shared" si="11"/>
        <v>1785.1296340425538</v>
      </c>
    </row>
    <row r="129" spans="1:16">
      <c r="A129" t="s">
        <v>134</v>
      </c>
      <c r="B129" t="s">
        <v>504</v>
      </c>
      <c r="C129" s="14">
        <v>0.83</v>
      </c>
      <c r="D129">
        <v>750</v>
      </c>
      <c r="E129" s="26">
        <v>32.9</v>
      </c>
      <c r="F129">
        <v>1156</v>
      </c>
      <c r="G129" s="27">
        <v>65.8</v>
      </c>
      <c r="H129" s="24">
        <f t="shared" si="12"/>
        <v>0.67375806281990347</v>
      </c>
      <c r="I129" s="25">
        <f t="shared" si="13"/>
        <v>7.7828368519238921E-3</v>
      </c>
      <c r="J129" s="24">
        <f t="shared" si="8"/>
        <v>0.13093778439013715</v>
      </c>
      <c r="K129" s="14">
        <v>1.27</v>
      </c>
      <c r="L129" s="27">
        <v>5.2</v>
      </c>
      <c r="M129" s="27">
        <v>3.24</v>
      </c>
      <c r="N129" s="4">
        <f t="shared" si="9"/>
        <v>1.6049382716049383</v>
      </c>
      <c r="O129" s="20">
        <f t="shared" si="10"/>
        <v>6.2650602409638561</v>
      </c>
      <c r="P129">
        <f t="shared" si="11"/>
        <v>1807.3740255319153</v>
      </c>
    </row>
    <row r="130" spans="1:16">
      <c r="A130" t="s">
        <v>135</v>
      </c>
      <c r="B130" t="s">
        <v>504</v>
      </c>
      <c r="C130" s="14">
        <v>0.83</v>
      </c>
      <c r="D130">
        <v>1000</v>
      </c>
      <c r="E130" s="26">
        <v>32.9</v>
      </c>
      <c r="F130">
        <v>1156</v>
      </c>
      <c r="G130" s="27">
        <v>65.8</v>
      </c>
      <c r="H130" s="24">
        <f t="shared" si="12"/>
        <v>0.89834408375987118</v>
      </c>
      <c r="I130" s="25">
        <f t="shared" si="13"/>
        <v>1.3836154403420257E-2</v>
      </c>
      <c r="J130" s="24">
        <f t="shared" si="8"/>
        <v>0.13093778439013717</v>
      </c>
      <c r="K130" s="14">
        <v>1.27</v>
      </c>
      <c r="L130" s="27">
        <v>5.18</v>
      </c>
      <c r="M130" s="27">
        <v>3.23</v>
      </c>
      <c r="N130" s="4">
        <f t="shared" si="9"/>
        <v>1.6037151702786376</v>
      </c>
      <c r="O130" s="20">
        <f t="shared" si="10"/>
        <v>6.2409638554216871</v>
      </c>
      <c r="P130">
        <f t="shared" si="11"/>
        <v>1796.2346127659578</v>
      </c>
    </row>
    <row r="131" spans="1:16">
      <c r="A131" t="s">
        <v>136</v>
      </c>
      <c r="B131" t="s">
        <v>504</v>
      </c>
      <c r="C131" s="14">
        <v>0.25</v>
      </c>
      <c r="D131">
        <v>1000</v>
      </c>
      <c r="E131" s="26">
        <v>32.9</v>
      </c>
      <c r="F131">
        <v>1156</v>
      </c>
      <c r="G131" s="27">
        <v>65.8</v>
      </c>
      <c r="H131" s="24">
        <f t="shared" si="12"/>
        <v>2.9825023580827725</v>
      </c>
      <c r="I131" s="25">
        <f t="shared" si="13"/>
        <v>0.50632532594358137</v>
      </c>
      <c r="J131" s="24">
        <f t="shared" si="8"/>
        <v>0.23857999753733236</v>
      </c>
      <c r="K131" s="14">
        <v>0.51</v>
      </c>
      <c r="L131" s="27">
        <v>2.99</v>
      </c>
      <c r="M131" s="27">
        <v>2.46</v>
      </c>
      <c r="N131" s="4">
        <f t="shared" si="9"/>
        <v>1.2154471544715448</v>
      </c>
      <c r="O131" s="20">
        <f t="shared" si="10"/>
        <v>11.96</v>
      </c>
      <c r="P131">
        <f t="shared" si="11"/>
        <v>1041.9052595744683</v>
      </c>
    </row>
    <row r="132" spans="1:16">
      <c r="A132" t="s">
        <v>137</v>
      </c>
      <c r="B132" t="s">
        <v>504</v>
      </c>
      <c r="C132" s="14">
        <v>0.25</v>
      </c>
      <c r="D132">
        <v>750</v>
      </c>
      <c r="E132" s="26">
        <v>32.9</v>
      </c>
      <c r="F132">
        <v>1156</v>
      </c>
      <c r="G132" s="27">
        <v>65.8</v>
      </c>
      <c r="H132" s="24">
        <f t="shared" si="12"/>
        <v>2.2368767685620794</v>
      </c>
      <c r="I132" s="25">
        <f t="shared" si="13"/>
        <v>0.28480799584326438</v>
      </c>
      <c r="J132" s="24">
        <f t="shared" ref="J132:J175" si="14">SQRT(I132)/H132</f>
        <v>0.23857999753733233</v>
      </c>
      <c r="K132" s="14">
        <v>0.51</v>
      </c>
      <c r="L132" s="27">
        <v>3.03</v>
      </c>
      <c r="M132" s="27">
        <v>2.4700000000000002</v>
      </c>
      <c r="N132" s="4">
        <f t="shared" ref="N132:N175" si="15">L132/M132</f>
        <v>1.2267206477732793</v>
      </c>
      <c r="O132" s="20">
        <f t="shared" ref="O132:O175" si="16">L132/C132</f>
        <v>12.12</v>
      </c>
      <c r="P132">
        <f t="shared" ref="P132:P195" si="17">F132*M132*M132*9.8/G132</f>
        <v>1050.3932510638301</v>
      </c>
    </row>
    <row r="133" spans="1:16">
      <c r="A133" t="s">
        <v>138</v>
      </c>
      <c r="B133" t="s">
        <v>504</v>
      </c>
      <c r="C133" s="14">
        <v>0.25</v>
      </c>
      <c r="D133">
        <v>500</v>
      </c>
      <c r="E133" s="26">
        <v>32.9</v>
      </c>
      <c r="F133">
        <v>1156</v>
      </c>
      <c r="G133" s="27">
        <v>65.8</v>
      </c>
      <c r="H133" s="24">
        <f t="shared" si="12"/>
        <v>1.4912511790413863</v>
      </c>
      <c r="I133" s="25">
        <f t="shared" si="13"/>
        <v>0.12658133148589534</v>
      </c>
      <c r="J133" s="24">
        <f t="shared" si="14"/>
        <v>0.23857999753733236</v>
      </c>
      <c r="K133" s="14">
        <v>0.51</v>
      </c>
      <c r="L133" s="27">
        <v>3.04</v>
      </c>
      <c r="M133" s="27">
        <v>2.4700000000000002</v>
      </c>
      <c r="N133" s="4">
        <f t="shared" si="15"/>
        <v>1.2307692307692306</v>
      </c>
      <c r="O133" s="20">
        <f t="shared" si="16"/>
        <v>12.16</v>
      </c>
      <c r="P133">
        <f t="shared" si="17"/>
        <v>1050.3932510638301</v>
      </c>
    </row>
    <row r="134" spans="1:16">
      <c r="A134" t="s">
        <v>139</v>
      </c>
      <c r="B134" t="s">
        <v>504</v>
      </c>
      <c r="C134" s="14">
        <v>0.25</v>
      </c>
      <c r="D134">
        <v>250</v>
      </c>
      <c r="E134" s="26">
        <v>32.9</v>
      </c>
      <c r="F134">
        <v>1156</v>
      </c>
      <c r="G134" s="27">
        <v>65.8</v>
      </c>
      <c r="H134" s="24">
        <f t="shared" si="12"/>
        <v>0.74562558952069313</v>
      </c>
      <c r="I134" s="25">
        <f t="shared" si="13"/>
        <v>3.1645332871473836E-2</v>
      </c>
      <c r="J134" s="24">
        <f t="shared" si="14"/>
        <v>0.23857999753733236</v>
      </c>
      <c r="K134" s="14">
        <v>0.51</v>
      </c>
      <c r="L134" s="27">
        <v>3.08</v>
      </c>
      <c r="M134" s="27">
        <v>2.46</v>
      </c>
      <c r="N134" s="4">
        <f t="shared" si="15"/>
        <v>1.2520325203252034</v>
      </c>
      <c r="O134" s="20">
        <f t="shared" si="16"/>
        <v>12.32</v>
      </c>
      <c r="P134">
        <f t="shared" si="17"/>
        <v>1041.9052595744683</v>
      </c>
    </row>
    <row r="135" spans="1:16">
      <c r="A135" t="s">
        <v>140</v>
      </c>
      <c r="B135" t="s">
        <v>504</v>
      </c>
      <c r="C135" s="14">
        <v>0.25</v>
      </c>
      <c r="D135">
        <v>100</v>
      </c>
      <c r="E135" s="26">
        <v>32.9</v>
      </c>
      <c r="F135">
        <v>1156</v>
      </c>
      <c r="G135" s="27">
        <v>65.8</v>
      </c>
      <c r="H135" s="24">
        <f t="shared" si="12"/>
        <v>0.29825023580827725</v>
      </c>
      <c r="I135" s="25">
        <f t="shared" si="13"/>
        <v>5.0632532594358124E-3</v>
      </c>
      <c r="J135" s="24">
        <f t="shared" si="14"/>
        <v>0.23857999753733236</v>
      </c>
      <c r="K135" s="14">
        <v>0.51</v>
      </c>
      <c r="L135" s="27">
        <v>3.05</v>
      </c>
      <c r="M135" s="27">
        <v>2.46</v>
      </c>
      <c r="N135" s="4">
        <f t="shared" si="15"/>
        <v>1.2398373983739837</v>
      </c>
      <c r="O135" s="20">
        <f t="shared" si="16"/>
        <v>12.2</v>
      </c>
      <c r="P135">
        <f t="shared" si="17"/>
        <v>1041.9052595744683</v>
      </c>
    </row>
    <row r="136" spans="1:16">
      <c r="A136" t="s">
        <v>141</v>
      </c>
      <c r="B136" t="s">
        <v>504</v>
      </c>
      <c r="C136" s="14">
        <v>0.1</v>
      </c>
      <c r="D136">
        <v>1000</v>
      </c>
      <c r="E136" s="26">
        <v>32.9</v>
      </c>
      <c r="F136">
        <v>1156</v>
      </c>
      <c r="G136" s="27">
        <v>65.8</v>
      </c>
      <c r="H136" s="24">
        <f t="shared" si="12"/>
        <v>7.4562558952069304</v>
      </c>
      <c r="I136" s="25">
        <f t="shared" si="13"/>
        <v>7.9113332178684583</v>
      </c>
      <c r="J136" s="24">
        <f t="shared" si="14"/>
        <v>0.37722809818766662</v>
      </c>
      <c r="K136" s="14">
        <v>0.24</v>
      </c>
      <c r="L136" s="27">
        <v>2.21</v>
      </c>
      <c r="M136" s="27">
        <v>1.96</v>
      </c>
      <c r="N136" s="4">
        <f t="shared" si="15"/>
        <v>1.1275510204081634</v>
      </c>
      <c r="O136" s="20">
        <f t="shared" si="16"/>
        <v>22.099999999999998</v>
      </c>
      <c r="P136">
        <f t="shared" si="17"/>
        <v>661.40908936170217</v>
      </c>
    </row>
    <row r="137" spans="1:16">
      <c r="A137" t="s">
        <v>142</v>
      </c>
      <c r="B137" t="s">
        <v>504</v>
      </c>
      <c r="C137" s="14">
        <v>0.1</v>
      </c>
      <c r="D137">
        <v>750</v>
      </c>
      <c r="E137" s="26">
        <v>32.9</v>
      </c>
      <c r="F137">
        <v>1156</v>
      </c>
      <c r="G137" s="27">
        <v>65.8</v>
      </c>
      <c r="H137" s="24">
        <f t="shared" si="12"/>
        <v>5.5921919214051981</v>
      </c>
      <c r="I137" s="25">
        <f t="shared" si="13"/>
        <v>4.4501249350510061</v>
      </c>
      <c r="J137" s="24">
        <f t="shared" si="14"/>
        <v>0.37722809818766645</v>
      </c>
      <c r="K137" s="14">
        <v>0.24</v>
      </c>
      <c r="L137" s="27">
        <v>2.13</v>
      </c>
      <c r="M137" s="27">
        <v>1.88</v>
      </c>
      <c r="N137" s="4">
        <f t="shared" si="15"/>
        <v>1.1329787234042554</v>
      </c>
      <c r="O137" s="20">
        <f t="shared" si="16"/>
        <v>21.299999999999997</v>
      </c>
      <c r="P137">
        <f t="shared" si="17"/>
        <v>608.51839999999993</v>
      </c>
    </row>
    <row r="138" spans="1:16">
      <c r="A138" t="s">
        <v>143</v>
      </c>
      <c r="B138" t="s">
        <v>504</v>
      </c>
      <c r="C138" s="14">
        <v>0.1</v>
      </c>
      <c r="D138">
        <v>500</v>
      </c>
      <c r="E138" s="26">
        <v>32.9</v>
      </c>
      <c r="F138">
        <v>1156</v>
      </c>
      <c r="G138" s="27">
        <v>65.8</v>
      </c>
      <c r="H138" s="24">
        <f t="shared" si="12"/>
        <v>3.7281279476034652</v>
      </c>
      <c r="I138" s="25">
        <f t="shared" si="13"/>
        <v>1.9778333044671146</v>
      </c>
      <c r="J138" s="24">
        <f t="shared" si="14"/>
        <v>0.37722809818766662</v>
      </c>
      <c r="K138" s="14">
        <v>0.24</v>
      </c>
      <c r="L138" s="27">
        <v>2.15</v>
      </c>
      <c r="M138" s="27">
        <v>1.89</v>
      </c>
      <c r="N138" s="4">
        <f t="shared" si="15"/>
        <v>1.1375661375661377</v>
      </c>
      <c r="O138" s="20">
        <f t="shared" si="16"/>
        <v>21.499999999999996</v>
      </c>
      <c r="P138">
        <f t="shared" si="17"/>
        <v>615.00921702127653</v>
      </c>
    </row>
    <row r="139" spans="1:16">
      <c r="A139" t="s">
        <v>144</v>
      </c>
      <c r="B139" t="s">
        <v>504</v>
      </c>
      <c r="C139" s="14">
        <v>0.1</v>
      </c>
      <c r="D139">
        <v>250</v>
      </c>
      <c r="E139" s="26">
        <v>32.9</v>
      </c>
      <c r="F139">
        <v>1156</v>
      </c>
      <c r="G139" s="27">
        <v>65.8</v>
      </c>
      <c r="H139" s="24">
        <f t="shared" si="12"/>
        <v>1.8640639738017326</v>
      </c>
      <c r="I139" s="25">
        <f t="shared" si="13"/>
        <v>0.49445832611677865</v>
      </c>
      <c r="J139" s="24">
        <f t="shared" si="14"/>
        <v>0.37722809818766662</v>
      </c>
      <c r="K139" s="14">
        <v>0.24</v>
      </c>
      <c r="L139" s="27">
        <v>2.2599999999999998</v>
      </c>
      <c r="M139" s="27">
        <v>1.95</v>
      </c>
      <c r="N139" s="4">
        <f t="shared" si="15"/>
        <v>1.1589743589743589</v>
      </c>
      <c r="O139" s="20">
        <f t="shared" si="16"/>
        <v>22.599999999999998</v>
      </c>
      <c r="P139">
        <f t="shared" si="17"/>
        <v>654.67723404255321</v>
      </c>
    </row>
    <row r="140" spans="1:16">
      <c r="A140" t="s">
        <v>145</v>
      </c>
      <c r="B140" t="s">
        <v>505</v>
      </c>
      <c r="C140" s="14">
        <v>0.1</v>
      </c>
      <c r="D140">
        <v>100</v>
      </c>
      <c r="E140" s="26">
        <v>32.9</v>
      </c>
      <c r="F140">
        <v>1156</v>
      </c>
      <c r="G140" s="27">
        <v>65.8</v>
      </c>
      <c r="H140" s="24">
        <f t="shared" si="12"/>
        <v>0.74562558952069302</v>
      </c>
      <c r="I140" s="25">
        <f t="shared" si="13"/>
        <v>7.9113332178684562E-2</v>
      </c>
      <c r="J140" s="24">
        <f t="shared" si="14"/>
        <v>0.37722809818766651</v>
      </c>
      <c r="K140" s="14">
        <v>0.24</v>
      </c>
      <c r="L140" s="27">
        <v>2.25</v>
      </c>
      <c r="M140" s="27">
        <v>1.95</v>
      </c>
      <c r="N140" s="4">
        <f t="shared" si="15"/>
        <v>1.153846153846154</v>
      </c>
      <c r="O140" s="20">
        <f t="shared" si="16"/>
        <v>22.5</v>
      </c>
      <c r="P140">
        <f t="shared" si="17"/>
        <v>654.67723404255321</v>
      </c>
    </row>
    <row r="141" spans="1:16">
      <c r="A141" t="s">
        <v>146</v>
      </c>
      <c r="B141" t="s">
        <v>507</v>
      </c>
      <c r="C141" s="14">
        <v>1.37</v>
      </c>
      <c r="D141">
        <v>1000</v>
      </c>
      <c r="E141" s="26">
        <v>225.1</v>
      </c>
      <c r="F141">
        <v>1206</v>
      </c>
      <c r="G141" s="27">
        <v>63.8</v>
      </c>
      <c r="H141" s="24">
        <f t="shared" si="12"/>
        <v>8.2987009339488271E-2</v>
      </c>
      <c r="I141" s="25">
        <f t="shared" si="13"/>
        <v>3.3104166993087767E-3</v>
      </c>
      <c r="J141" s="24">
        <f t="shared" si="14"/>
        <v>0.69331599267936017</v>
      </c>
      <c r="K141" s="14">
        <v>1.8</v>
      </c>
      <c r="L141" s="27">
        <v>9.27</v>
      </c>
      <c r="M141" s="27">
        <v>3.43</v>
      </c>
      <c r="N141" s="4">
        <f t="shared" si="15"/>
        <v>2.7026239067055391</v>
      </c>
      <c r="O141" s="20">
        <f t="shared" si="16"/>
        <v>6.766423357664233</v>
      </c>
      <c r="P141">
        <f t="shared" si="17"/>
        <v>2179.4200645768028</v>
      </c>
    </row>
    <row r="142" spans="1:16">
      <c r="A142" t="s">
        <v>147</v>
      </c>
      <c r="B142" t="s">
        <v>507</v>
      </c>
      <c r="C142" s="14">
        <v>1.37</v>
      </c>
      <c r="D142">
        <v>750</v>
      </c>
      <c r="E142" s="26">
        <v>225.1</v>
      </c>
      <c r="F142">
        <v>1206</v>
      </c>
      <c r="G142" s="27">
        <v>63.8</v>
      </c>
      <c r="H142" s="24">
        <f t="shared" si="12"/>
        <v>6.224025700461621E-2</v>
      </c>
      <c r="I142" s="25">
        <f t="shared" si="13"/>
        <v>1.8621093933611863E-3</v>
      </c>
      <c r="J142" s="24">
        <f t="shared" si="14"/>
        <v>0.69331599267935984</v>
      </c>
      <c r="K142" s="14">
        <v>1.8</v>
      </c>
      <c r="L142" s="27">
        <v>9.7100000000000009</v>
      </c>
      <c r="M142" s="27">
        <v>3.43</v>
      </c>
      <c r="N142" s="4">
        <f t="shared" si="15"/>
        <v>2.8309037900874636</v>
      </c>
      <c r="O142" s="20">
        <f t="shared" si="16"/>
        <v>7.0875912408759127</v>
      </c>
      <c r="P142">
        <f t="shared" si="17"/>
        <v>2179.4200645768028</v>
      </c>
    </row>
    <row r="143" spans="1:16">
      <c r="A143" t="s">
        <v>148</v>
      </c>
      <c r="B143" t="s">
        <v>506</v>
      </c>
      <c r="C143" s="14">
        <v>1.37</v>
      </c>
      <c r="D143">
        <v>500</v>
      </c>
      <c r="E143" s="26">
        <v>225.1</v>
      </c>
      <c r="F143">
        <v>1206</v>
      </c>
      <c r="G143" s="27">
        <v>63.8</v>
      </c>
      <c r="H143" s="24">
        <f t="shared" si="12"/>
        <v>4.1493504669744136E-2</v>
      </c>
      <c r="I143" s="25">
        <f t="shared" si="13"/>
        <v>8.2760417482719418E-4</v>
      </c>
      <c r="J143" s="24">
        <f t="shared" si="14"/>
        <v>0.69331599267936017</v>
      </c>
      <c r="K143" s="14">
        <v>1.8</v>
      </c>
      <c r="L143" s="27">
        <v>10.08</v>
      </c>
      <c r="M143" s="27">
        <v>3.38</v>
      </c>
      <c r="N143" s="4">
        <f t="shared" si="15"/>
        <v>2.9822485207100593</v>
      </c>
      <c r="O143" s="20">
        <f t="shared" si="16"/>
        <v>7.3576642335766422</v>
      </c>
      <c r="P143">
        <f t="shared" si="17"/>
        <v>2116.3432401253917</v>
      </c>
    </row>
    <row r="144" spans="1:16">
      <c r="A144" t="s">
        <v>149</v>
      </c>
      <c r="B144" t="s">
        <v>506</v>
      </c>
      <c r="C144" s="14">
        <v>1.37</v>
      </c>
      <c r="D144">
        <v>250</v>
      </c>
      <c r="E144" s="26">
        <v>225.1</v>
      </c>
      <c r="F144">
        <v>1206</v>
      </c>
      <c r="G144" s="27">
        <v>63.8</v>
      </c>
      <c r="H144" s="24">
        <f t="shared" si="12"/>
        <v>2.0746752334872068E-2</v>
      </c>
      <c r="I144" s="25">
        <f t="shared" si="13"/>
        <v>2.0690104370679855E-4</v>
      </c>
      <c r="J144" s="24">
        <f t="shared" si="14"/>
        <v>0.69331599267936017</v>
      </c>
      <c r="K144" s="14">
        <v>1.8</v>
      </c>
      <c r="L144" s="27">
        <v>9.0399999999999991</v>
      </c>
      <c r="M144" s="27">
        <v>3.42</v>
      </c>
      <c r="N144" s="4">
        <f t="shared" si="15"/>
        <v>2.6432748538011692</v>
      </c>
      <c r="O144" s="20">
        <f t="shared" si="16"/>
        <v>6.5985401459854005</v>
      </c>
      <c r="P144">
        <f t="shared" si="17"/>
        <v>2166.7306006269591</v>
      </c>
    </row>
    <row r="145" spans="1:16">
      <c r="A145" t="s">
        <v>150</v>
      </c>
      <c r="B145" t="s">
        <v>506</v>
      </c>
      <c r="C145" s="14">
        <v>1.37</v>
      </c>
      <c r="D145">
        <v>100</v>
      </c>
      <c r="E145" s="26">
        <v>225.1</v>
      </c>
      <c r="F145">
        <v>1206</v>
      </c>
      <c r="G145" s="27">
        <v>63.8</v>
      </c>
      <c r="H145" s="24">
        <f t="shared" si="12"/>
        <v>8.2987009339488289E-3</v>
      </c>
      <c r="I145" s="25">
        <f t="shared" si="13"/>
        <v>3.3104166993087761E-5</v>
      </c>
      <c r="J145" s="24">
        <f t="shared" si="14"/>
        <v>0.69331599267935984</v>
      </c>
      <c r="K145" s="14">
        <v>1.8</v>
      </c>
      <c r="L145" s="27">
        <v>8.7200000000000006</v>
      </c>
      <c r="M145" s="27">
        <v>3.42</v>
      </c>
      <c r="N145" s="4">
        <f t="shared" si="15"/>
        <v>2.5497076023391814</v>
      </c>
      <c r="O145" s="20">
        <f t="shared" si="16"/>
        <v>6.3649635036496353</v>
      </c>
      <c r="P145">
        <f t="shared" si="17"/>
        <v>2166.7306006269591</v>
      </c>
    </row>
    <row r="146" spans="1:16">
      <c r="A146" t="s">
        <v>151</v>
      </c>
      <c r="B146" t="s">
        <v>506</v>
      </c>
      <c r="C146" s="14">
        <v>0.83</v>
      </c>
      <c r="D146">
        <v>100</v>
      </c>
      <c r="E146" s="26">
        <v>225.1</v>
      </c>
      <c r="F146">
        <v>1206</v>
      </c>
      <c r="G146" s="27">
        <v>63.8</v>
      </c>
      <c r="H146" s="24">
        <f t="shared" si="12"/>
        <v>1.3697855758445661E-2</v>
      </c>
      <c r="I146" s="25">
        <f t="shared" si="13"/>
        <v>1.4887099411175356E-4</v>
      </c>
      <c r="J146" s="24">
        <f t="shared" si="14"/>
        <v>0.89074307683793053</v>
      </c>
      <c r="K146" s="14">
        <v>1.27</v>
      </c>
      <c r="L146" s="27">
        <v>5.45</v>
      </c>
      <c r="M146" s="27">
        <v>3.06</v>
      </c>
      <c r="N146" s="4">
        <f t="shared" si="15"/>
        <v>1.781045751633987</v>
      </c>
      <c r="O146" s="20">
        <f t="shared" si="16"/>
        <v>6.5662650602409647</v>
      </c>
      <c r="P146">
        <f t="shared" si="17"/>
        <v>1734.5848852664581</v>
      </c>
    </row>
    <row r="147" spans="1:16">
      <c r="A147" t="s">
        <v>152</v>
      </c>
      <c r="B147" t="s">
        <v>506</v>
      </c>
      <c r="C147" s="14">
        <v>0.83</v>
      </c>
      <c r="D147">
        <v>250</v>
      </c>
      <c r="E147" s="26">
        <v>225.1</v>
      </c>
      <c r="F147">
        <v>1206</v>
      </c>
      <c r="G147" s="27">
        <v>63.8</v>
      </c>
      <c r="H147" s="24">
        <f t="shared" si="12"/>
        <v>3.4244639396114149E-2</v>
      </c>
      <c r="I147" s="25">
        <f t="shared" si="13"/>
        <v>9.304437131984598E-4</v>
      </c>
      <c r="J147" s="24">
        <f t="shared" si="14"/>
        <v>0.89074307683793053</v>
      </c>
      <c r="K147" s="14">
        <v>1.27</v>
      </c>
      <c r="L147" s="27">
        <v>5.71</v>
      </c>
      <c r="M147" s="27">
        <v>3.1</v>
      </c>
      <c r="N147" s="4">
        <f t="shared" si="15"/>
        <v>1.8419354838709676</v>
      </c>
      <c r="O147" s="20">
        <f t="shared" si="16"/>
        <v>6.8795180722891569</v>
      </c>
      <c r="P147">
        <f t="shared" si="17"/>
        <v>1780.229905956113</v>
      </c>
    </row>
    <row r="148" spans="1:16">
      <c r="A148" t="s">
        <v>153</v>
      </c>
      <c r="B148" t="s">
        <v>506</v>
      </c>
      <c r="C148" s="14">
        <v>0.83</v>
      </c>
      <c r="D148">
        <v>500</v>
      </c>
      <c r="E148" s="26">
        <v>225.1</v>
      </c>
      <c r="F148">
        <v>1206</v>
      </c>
      <c r="G148" s="27">
        <v>63.8</v>
      </c>
      <c r="H148" s="24">
        <f t="shared" si="12"/>
        <v>6.8489278792228298E-2</v>
      </c>
      <c r="I148" s="25">
        <f t="shared" si="13"/>
        <v>3.7217748527938392E-3</v>
      </c>
      <c r="J148" s="24">
        <f t="shared" si="14"/>
        <v>0.89074307683793053</v>
      </c>
      <c r="K148" s="14">
        <v>1.27</v>
      </c>
      <c r="L148" s="27">
        <v>5.91</v>
      </c>
      <c r="M148" s="27">
        <v>3.09</v>
      </c>
      <c r="N148" s="4">
        <f t="shared" si="15"/>
        <v>1.912621359223301</v>
      </c>
      <c r="O148" s="20">
        <f t="shared" si="16"/>
        <v>7.120481927710844</v>
      </c>
      <c r="P148">
        <f t="shared" si="17"/>
        <v>1768.7630764890282</v>
      </c>
    </row>
    <row r="149" spans="1:16">
      <c r="A149" t="s">
        <v>154</v>
      </c>
      <c r="B149" t="s">
        <v>506</v>
      </c>
      <c r="C149" s="14">
        <v>0.83</v>
      </c>
      <c r="D149">
        <v>750</v>
      </c>
      <c r="E149" s="26">
        <v>225.1</v>
      </c>
      <c r="F149">
        <v>1206</v>
      </c>
      <c r="G149" s="27">
        <v>63.8</v>
      </c>
      <c r="H149" s="24">
        <f t="shared" si="12"/>
        <v>0.10273391818834245</v>
      </c>
      <c r="I149" s="25">
        <f t="shared" si="13"/>
        <v>8.3739934187861357E-3</v>
      </c>
      <c r="J149" s="24">
        <f t="shared" si="14"/>
        <v>0.89074307683793053</v>
      </c>
      <c r="K149" s="14">
        <v>1.27</v>
      </c>
      <c r="L149" s="27">
        <v>5.31</v>
      </c>
      <c r="M149" s="27">
        <v>3.06</v>
      </c>
      <c r="N149" s="4">
        <f t="shared" si="15"/>
        <v>1.7352941176470587</v>
      </c>
      <c r="O149" s="20">
        <f t="shared" si="16"/>
        <v>6.3975903614457827</v>
      </c>
      <c r="P149">
        <f t="shared" si="17"/>
        <v>1734.5848852664581</v>
      </c>
    </row>
    <row r="150" spans="1:16">
      <c r="A150" t="s">
        <v>155</v>
      </c>
      <c r="B150" t="s">
        <v>506</v>
      </c>
      <c r="C150" s="14">
        <v>0.83</v>
      </c>
      <c r="D150">
        <v>1000</v>
      </c>
      <c r="E150" s="26">
        <v>225.1</v>
      </c>
      <c r="F150">
        <v>1206</v>
      </c>
      <c r="G150" s="27">
        <v>63.8</v>
      </c>
      <c r="H150" s="24">
        <f t="shared" si="12"/>
        <v>0.1369785575844566</v>
      </c>
      <c r="I150" s="25">
        <f t="shared" si="13"/>
        <v>1.4887099411175357E-2</v>
      </c>
      <c r="J150" s="24">
        <f t="shared" si="14"/>
        <v>0.89074307683793053</v>
      </c>
      <c r="K150" s="14">
        <v>1.27</v>
      </c>
      <c r="L150" s="27">
        <v>6.33</v>
      </c>
      <c r="M150" s="27">
        <v>3.11</v>
      </c>
      <c r="N150" s="4">
        <f t="shared" si="15"/>
        <v>2.0353697749196145</v>
      </c>
      <c r="O150" s="20">
        <f t="shared" si="16"/>
        <v>7.6265060240963862</v>
      </c>
      <c r="P150">
        <f t="shared" si="17"/>
        <v>1791.7337849529781</v>
      </c>
    </row>
    <row r="151" spans="1:16">
      <c r="A151" t="s">
        <v>156</v>
      </c>
      <c r="B151" t="s">
        <v>506</v>
      </c>
      <c r="C151" s="14">
        <v>0.25</v>
      </c>
      <c r="D151">
        <v>1000</v>
      </c>
      <c r="E151" s="26">
        <v>225.1</v>
      </c>
      <c r="F151">
        <v>1206</v>
      </c>
      <c r="G151" s="27">
        <v>63.8</v>
      </c>
      <c r="H151" s="24">
        <f t="shared" si="12"/>
        <v>0.4547688111803958</v>
      </c>
      <c r="I151" s="25">
        <f t="shared" si="13"/>
        <v>0.54478399430513424</v>
      </c>
      <c r="J151" s="24">
        <f t="shared" si="14"/>
        <v>1.6230111275229187</v>
      </c>
      <c r="K151" s="14">
        <v>0.51</v>
      </c>
      <c r="L151" s="27">
        <v>3.04</v>
      </c>
      <c r="M151" s="27">
        <v>2.41</v>
      </c>
      <c r="N151" s="4">
        <f t="shared" si="15"/>
        <v>1.2614107883817427</v>
      </c>
      <c r="O151" s="20">
        <f t="shared" si="16"/>
        <v>12.16</v>
      </c>
      <c r="P151">
        <f t="shared" si="17"/>
        <v>1075.9368695924766</v>
      </c>
    </row>
    <row r="152" spans="1:16">
      <c r="A152" t="s">
        <v>157</v>
      </c>
      <c r="B152" t="s">
        <v>506</v>
      </c>
      <c r="C152" s="14">
        <v>0.25</v>
      </c>
      <c r="D152">
        <v>750</v>
      </c>
      <c r="E152" s="26">
        <v>225.1</v>
      </c>
      <c r="F152">
        <v>1206</v>
      </c>
      <c r="G152" s="27">
        <v>63.8</v>
      </c>
      <c r="H152" s="24">
        <f t="shared" si="12"/>
        <v>0.34107660838529685</v>
      </c>
      <c r="I152" s="25">
        <f t="shared" si="13"/>
        <v>0.30644099679663794</v>
      </c>
      <c r="J152" s="24">
        <f t="shared" si="14"/>
        <v>1.6230111275229187</v>
      </c>
      <c r="K152" s="14">
        <v>0.51</v>
      </c>
      <c r="L152" s="27">
        <v>3.13</v>
      </c>
      <c r="M152" s="27">
        <v>2.52</v>
      </c>
      <c r="N152" s="4">
        <f t="shared" si="15"/>
        <v>1.2420634920634921</v>
      </c>
      <c r="O152" s="20">
        <f t="shared" si="16"/>
        <v>12.52</v>
      </c>
      <c r="P152">
        <f t="shared" si="17"/>
        <v>1176.3966695924767</v>
      </c>
    </row>
    <row r="153" spans="1:16">
      <c r="A153" t="s">
        <v>158</v>
      </c>
      <c r="B153" t="s">
        <v>506</v>
      </c>
      <c r="C153" s="14">
        <v>0.25</v>
      </c>
      <c r="D153">
        <v>500</v>
      </c>
      <c r="E153" s="26">
        <v>225.1</v>
      </c>
      <c r="F153">
        <v>1206</v>
      </c>
      <c r="G153" s="27">
        <v>63.8</v>
      </c>
      <c r="H153" s="24">
        <f t="shared" si="12"/>
        <v>0.2273844055901979</v>
      </c>
      <c r="I153" s="25">
        <f t="shared" si="13"/>
        <v>0.13619599857628356</v>
      </c>
      <c r="J153" s="24">
        <f t="shared" si="14"/>
        <v>1.6230111275229187</v>
      </c>
      <c r="K153" s="14">
        <v>0.51</v>
      </c>
      <c r="L153" s="27">
        <v>3.22</v>
      </c>
      <c r="M153" s="27">
        <v>2.5099999999999998</v>
      </c>
      <c r="N153" s="4">
        <f t="shared" si="15"/>
        <v>1.2828685258964145</v>
      </c>
      <c r="O153" s="20">
        <f t="shared" si="16"/>
        <v>12.88</v>
      </c>
      <c r="P153">
        <f t="shared" si="17"/>
        <v>1167.0787128526647</v>
      </c>
    </row>
    <row r="154" spans="1:16">
      <c r="A154" t="s">
        <v>159</v>
      </c>
      <c r="B154" t="s">
        <v>506</v>
      </c>
      <c r="C154" s="14">
        <v>0.25</v>
      </c>
      <c r="D154">
        <v>250</v>
      </c>
      <c r="E154" s="26">
        <v>225.1</v>
      </c>
      <c r="F154">
        <v>1206</v>
      </c>
      <c r="G154" s="27">
        <v>63.8</v>
      </c>
      <c r="H154" s="24">
        <f t="shared" si="12"/>
        <v>0.11369220279509895</v>
      </c>
      <c r="I154" s="25">
        <f t="shared" si="13"/>
        <v>3.404899964407089E-2</v>
      </c>
      <c r="J154" s="24">
        <f t="shared" si="14"/>
        <v>1.6230111275229187</v>
      </c>
      <c r="K154" s="14">
        <v>0.51</v>
      </c>
      <c r="L154" s="27">
        <v>3.08</v>
      </c>
      <c r="M154" s="27">
        <v>2.41</v>
      </c>
      <c r="N154" s="4">
        <f t="shared" si="15"/>
        <v>1.2780082987551866</v>
      </c>
      <c r="O154" s="20">
        <f t="shared" si="16"/>
        <v>12.32</v>
      </c>
      <c r="P154">
        <f t="shared" si="17"/>
        <v>1075.9368695924766</v>
      </c>
    </row>
    <row r="155" spans="1:16">
      <c r="A155" t="s">
        <v>160</v>
      </c>
      <c r="B155" t="s">
        <v>506</v>
      </c>
      <c r="C155" s="14">
        <v>0.25</v>
      </c>
      <c r="D155">
        <v>100</v>
      </c>
      <c r="E155" s="26">
        <v>225.1</v>
      </c>
      <c r="F155">
        <v>1206</v>
      </c>
      <c r="G155" s="27">
        <v>63.8</v>
      </c>
      <c r="H155" s="24">
        <f t="shared" si="12"/>
        <v>4.5476881118039582E-2</v>
      </c>
      <c r="I155" s="25">
        <f t="shared" si="13"/>
        <v>5.4478399430513422E-3</v>
      </c>
      <c r="J155" s="24">
        <f t="shared" si="14"/>
        <v>1.6230111275229189</v>
      </c>
      <c r="K155" s="14">
        <v>0.51</v>
      </c>
      <c r="L155" s="27">
        <v>2.99</v>
      </c>
      <c r="M155" s="27">
        <v>2.37</v>
      </c>
      <c r="N155" s="4">
        <f t="shared" si="15"/>
        <v>1.2616033755274263</v>
      </c>
      <c r="O155" s="20">
        <f t="shared" si="16"/>
        <v>11.96</v>
      </c>
      <c r="P155">
        <f t="shared" si="17"/>
        <v>1040.5175191222572</v>
      </c>
    </row>
    <row r="156" spans="1:16">
      <c r="A156" t="s">
        <v>161</v>
      </c>
      <c r="B156" t="s">
        <v>509</v>
      </c>
      <c r="C156" s="14">
        <v>1.37</v>
      </c>
      <c r="D156">
        <v>1000</v>
      </c>
      <c r="E156" s="26">
        <v>505.3</v>
      </c>
      <c r="F156">
        <v>1230</v>
      </c>
      <c r="G156" s="27">
        <v>63.3</v>
      </c>
      <c r="H156" s="24">
        <f t="shared" si="12"/>
        <v>3.7704580594704641E-2</v>
      </c>
      <c r="I156" s="25">
        <f t="shared" si="13"/>
        <v>3.4029646404831679E-3</v>
      </c>
      <c r="J156" s="24">
        <f t="shared" si="14"/>
        <v>1.5471577742432081</v>
      </c>
      <c r="K156" s="14">
        <v>1.8</v>
      </c>
      <c r="L156" s="27">
        <v>13.13</v>
      </c>
      <c r="M156" s="27">
        <v>3.37</v>
      </c>
      <c r="N156" s="4">
        <f t="shared" si="15"/>
        <v>3.8961424332344214</v>
      </c>
      <c r="O156" s="20">
        <f t="shared" si="16"/>
        <v>9.5839416058394153</v>
      </c>
      <c r="P156">
        <f t="shared" si="17"/>
        <v>2162.6551753554504</v>
      </c>
    </row>
    <row r="157" spans="1:16">
      <c r="A157" t="s">
        <v>162</v>
      </c>
      <c r="B157" t="s">
        <v>509</v>
      </c>
      <c r="C157" s="14">
        <v>1.37</v>
      </c>
      <c r="D157">
        <v>750</v>
      </c>
      <c r="E157" s="26">
        <v>505.3</v>
      </c>
      <c r="F157">
        <v>1230</v>
      </c>
      <c r="G157" s="27">
        <v>63.3</v>
      </c>
      <c r="H157" s="24">
        <f t="shared" si="12"/>
        <v>2.8278435446028483E-2</v>
      </c>
      <c r="I157" s="25">
        <f t="shared" si="13"/>
        <v>1.9141676102717815E-3</v>
      </c>
      <c r="J157" s="24">
        <f t="shared" si="14"/>
        <v>1.5471577742432077</v>
      </c>
      <c r="K157" s="14">
        <v>1.8</v>
      </c>
      <c r="L157" s="27">
        <v>13.57</v>
      </c>
      <c r="M157" s="27">
        <v>3.29</v>
      </c>
      <c r="N157" s="4">
        <f t="shared" si="15"/>
        <v>4.1246200607902734</v>
      </c>
      <c r="O157" s="20">
        <f t="shared" si="16"/>
        <v>9.9051094890510942</v>
      </c>
      <c r="P157">
        <f t="shared" si="17"/>
        <v>2061.1959146919435</v>
      </c>
    </row>
    <row r="158" spans="1:16">
      <c r="A158" t="s">
        <v>163</v>
      </c>
      <c r="B158" t="s">
        <v>508</v>
      </c>
      <c r="C158" s="14">
        <v>1.37</v>
      </c>
      <c r="D158">
        <v>500</v>
      </c>
      <c r="E158" s="26">
        <v>505.3</v>
      </c>
      <c r="F158">
        <v>1230</v>
      </c>
      <c r="G158" s="27">
        <v>63.3</v>
      </c>
      <c r="H158" s="24">
        <f t="shared" si="12"/>
        <v>1.8852290297352321E-2</v>
      </c>
      <c r="I158" s="25">
        <f t="shared" si="13"/>
        <v>8.5074116012079197E-4</v>
      </c>
      <c r="J158" s="24">
        <f t="shared" si="14"/>
        <v>1.5471577742432081</v>
      </c>
      <c r="K158" s="14">
        <v>1.8</v>
      </c>
      <c r="L158" s="27">
        <v>12.94</v>
      </c>
      <c r="M158" s="27">
        <v>3.25</v>
      </c>
      <c r="N158" s="4">
        <f t="shared" si="15"/>
        <v>3.9815384615384612</v>
      </c>
      <c r="O158" s="20">
        <f t="shared" si="16"/>
        <v>9.4452554744525532</v>
      </c>
      <c r="P158">
        <f t="shared" si="17"/>
        <v>2011.3803317535549</v>
      </c>
    </row>
    <row r="159" spans="1:16">
      <c r="A159" t="s">
        <v>164</v>
      </c>
      <c r="B159" t="s">
        <v>508</v>
      </c>
      <c r="C159" s="14">
        <v>1.37</v>
      </c>
      <c r="D159">
        <v>250</v>
      </c>
      <c r="E159" s="26">
        <v>505.3</v>
      </c>
      <c r="F159">
        <v>1230</v>
      </c>
      <c r="G159" s="27">
        <v>63.3</v>
      </c>
      <c r="H159" s="24">
        <f t="shared" si="12"/>
        <v>9.4261451486761603E-3</v>
      </c>
      <c r="I159" s="25">
        <f t="shared" si="13"/>
        <v>2.1268529003019799E-4</v>
      </c>
      <c r="J159" s="24">
        <f t="shared" si="14"/>
        <v>1.5471577742432081</v>
      </c>
      <c r="K159" s="14">
        <v>1.8</v>
      </c>
      <c r="L159" s="27">
        <v>12.53</v>
      </c>
      <c r="M159" s="27">
        <v>3.28</v>
      </c>
      <c r="N159" s="4">
        <f t="shared" si="15"/>
        <v>3.8201219512195124</v>
      </c>
      <c r="O159" s="20">
        <f t="shared" si="16"/>
        <v>9.1459854014598534</v>
      </c>
      <c r="P159">
        <f t="shared" si="17"/>
        <v>2048.6848909952605</v>
      </c>
    </row>
    <row r="160" spans="1:16">
      <c r="A160" t="s">
        <v>165</v>
      </c>
      <c r="B160" t="s">
        <v>508</v>
      </c>
      <c r="C160" s="14">
        <v>1.37</v>
      </c>
      <c r="D160">
        <v>100</v>
      </c>
      <c r="E160" s="26">
        <v>505.3</v>
      </c>
      <c r="F160">
        <v>1230</v>
      </c>
      <c r="G160" s="27">
        <v>63.3</v>
      </c>
      <c r="H160" s="24">
        <f t="shared" si="12"/>
        <v>3.770458059470465E-3</v>
      </c>
      <c r="I160" s="25">
        <f t="shared" si="13"/>
        <v>3.4029646404831675E-5</v>
      </c>
      <c r="J160" s="24">
        <f t="shared" si="14"/>
        <v>1.5471577742432074</v>
      </c>
      <c r="K160" s="14">
        <v>1.8</v>
      </c>
      <c r="L160" s="27">
        <v>10.97</v>
      </c>
      <c r="M160" s="27">
        <v>3.34</v>
      </c>
      <c r="N160" s="4">
        <f t="shared" si="15"/>
        <v>3.2844311377245514</v>
      </c>
      <c r="O160" s="20">
        <f t="shared" si="16"/>
        <v>8.007299270072993</v>
      </c>
      <c r="P160">
        <f t="shared" si="17"/>
        <v>2124.3223127962087</v>
      </c>
    </row>
    <row r="161" spans="1:16">
      <c r="A161" t="s">
        <v>166</v>
      </c>
      <c r="B161" t="s">
        <v>508</v>
      </c>
      <c r="C161" s="14">
        <v>0.83</v>
      </c>
      <c r="D161">
        <v>100</v>
      </c>
      <c r="E161" s="26">
        <v>505.3</v>
      </c>
      <c r="F161">
        <v>1230</v>
      </c>
      <c r="G161" s="27">
        <v>63.3</v>
      </c>
      <c r="H161" s="24">
        <f t="shared" si="12"/>
        <v>6.2235271584030576E-3</v>
      </c>
      <c r="I161" s="25">
        <f t="shared" si="13"/>
        <v>1.5303291850287461E-4</v>
      </c>
      <c r="J161" s="24">
        <f t="shared" si="14"/>
        <v>1.9877229008626986</v>
      </c>
      <c r="K161" s="14">
        <v>1.27</v>
      </c>
      <c r="L161" s="27">
        <v>6.52</v>
      </c>
      <c r="M161" s="27">
        <v>3.01</v>
      </c>
      <c r="N161" s="4">
        <f t="shared" si="15"/>
        <v>2.1661129568106312</v>
      </c>
      <c r="O161" s="20">
        <f t="shared" si="16"/>
        <v>7.8554216867469879</v>
      </c>
      <c r="P161">
        <f t="shared" si="17"/>
        <v>1725.2834976303318</v>
      </c>
    </row>
    <row r="162" spans="1:16">
      <c r="A162" t="s">
        <v>167</v>
      </c>
      <c r="B162" t="s">
        <v>508</v>
      </c>
      <c r="C162" s="14">
        <v>0.83</v>
      </c>
      <c r="D162">
        <v>250</v>
      </c>
      <c r="E162" s="26">
        <v>505.3</v>
      </c>
      <c r="F162">
        <v>1230</v>
      </c>
      <c r="G162" s="27">
        <v>63.3</v>
      </c>
      <c r="H162" s="24">
        <f t="shared" si="12"/>
        <v>1.5558817896007642E-2</v>
      </c>
      <c r="I162" s="25">
        <f t="shared" si="13"/>
        <v>9.5645574064296649E-4</v>
      </c>
      <c r="J162" s="24">
        <f t="shared" si="14"/>
        <v>1.9877229008626991</v>
      </c>
      <c r="K162" s="14">
        <v>1.27</v>
      </c>
      <c r="L162" s="27">
        <v>6.41</v>
      </c>
      <c r="M162" s="27">
        <v>3.04</v>
      </c>
      <c r="N162" s="4">
        <f t="shared" si="15"/>
        <v>2.1085526315789473</v>
      </c>
      <c r="O162" s="20">
        <f t="shared" si="16"/>
        <v>7.7228915662650603</v>
      </c>
      <c r="P162">
        <f t="shared" si="17"/>
        <v>1759.8459146919433</v>
      </c>
    </row>
    <row r="163" spans="1:16">
      <c r="A163" t="s">
        <v>168</v>
      </c>
      <c r="B163" t="s">
        <v>508</v>
      </c>
      <c r="C163" s="14">
        <v>0.83</v>
      </c>
      <c r="D163">
        <v>500</v>
      </c>
      <c r="E163" s="26">
        <v>505.3</v>
      </c>
      <c r="F163">
        <v>1230</v>
      </c>
      <c r="G163" s="27">
        <v>63.3</v>
      </c>
      <c r="H163" s="24">
        <f t="shared" si="12"/>
        <v>3.1117635792015284E-2</v>
      </c>
      <c r="I163" s="25">
        <f t="shared" si="13"/>
        <v>3.825822962571866E-3</v>
      </c>
      <c r="J163" s="24">
        <f t="shared" si="14"/>
        <v>1.9877229008626991</v>
      </c>
      <c r="K163" s="14">
        <v>1.27</v>
      </c>
      <c r="L163" s="27">
        <v>6.4</v>
      </c>
      <c r="M163" s="27">
        <v>3.09</v>
      </c>
      <c r="N163" s="4">
        <f t="shared" si="15"/>
        <v>2.0711974110032365</v>
      </c>
      <c r="O163" s="20">
        <f t="shared" si="16"/>
        <v>7.7108433734939767</v>
      </c>
      <c r="P163">
        <f t="shared" si="17"/>
        <v>1818.2116492890996</v>
      </c>
    </row>
    <row r="164" spans="1:16">
      <c r="A164" t="s">
        <v>169</v>
      </c>
      <c r="B164" t="s">
        <v>508</v>
      </c>
      <c r="C164" s="14">
        <v>0.83</v>
      </c>
      <c r="D164">
        <v>750</v>
      </c>
      <c r="E164" s="26">
        <v>505.3</v>
      </c>
      <c r="F164">
        <v>1230</v>
      </c>
      <c r="G164" s="27">
        <v>63.3</v>
      </c>
      <c r="H164" s="24">
        <f t="shared" si="12"/>
        <v>4.667645368802293E-2</v>
      </c>
      <c r="I164" s="25">
        <f t="shared" si="13"/>
        <v>8.6081016657866966E-3</v>
      </c>
      <c r="J164" s="24">
        <f t="shared" si="14"/>
        <v>1.9877229008626986</v>
      </c>
      <c r="K164" s="14">
        <v>1.27</v>
      </c>
      <c r="L164" s="27">
        <v>5.95</v>
      </c>
      <c r="M164" s="27">
        <v>3.11</v>
      </c>
      <c r="N164" s="4">
        <f t="shared" si="15"/>
        <v>1.9131832797427655</v>
      </c>
      <c r="O164" s="20">
        <f t="shared" si="16"/>
        <v>7.168674698795181</v>
      </c>
      <c r="P164">
        <f t="shared" si="17"/>
        <v>1841.8245402843604</v>
      </c>
    </row>
    <row r="165" spans="1:16">
      <c r="A165" t="s">
        <v>170</v>
      </c>
      <c r="B165" t="s">
        <v>508</v>
      </c>
      <c r="C165" s="14">
        <v>0.83</v>
      </c>
      <c r="D165">
        <v>1000</v>
      </c>
      <c r="E165" s="26">
        <v>505.3</v>
      </c>
      <c r="F165">
        <v>1230</v>
      </c>
      <c r="G165" s="27">
        <v>63.3</v>
      </c>
      <c r="H165" s="24">
        <f t="shared" si="12"/>
        <v>6.2235271584030569E-2</v>
      </c>
      <c r="I165" s="25">
        <f t="shared" si="13"/>
        <v>1.5303291850287464E-2</v>
      </c>
      <c r="J165" s="24">
        <f t="shared" si="14"/>
        <v>1.9877229008626991</v>
      </c>
      <c r="K165" s="14">
        <v>1.27</v>
      </c>
      <c r="L165" s="27">
        <v>5.98</v>
      </c>
      <c r="M165" s="27">
        <v>3.06</v>
      </c>
      <c r="N165" s="4">
        <f t="shared" si="15"/>
        <v>1.9542483660130721</v>
      </c>
      <c r="O165" s="20">
        <f t="shared" si="16"/>
        <v>7.2048192771084345</v>
      </c>
      <c r="P165">
        <f t="shared" si="17"/>
        <v>1783.0779526066356</v>
      </c>
    </row>
    <row r="166" spans="1:16">
      <c r="A166" t="s">
        <v>171</v>
      </c>
      <c r="B166" t="s">
        <v>508</v>
      </c>
      <c r="C166" s="14">
        <v>0.25</v>
      </c>
      <c r="D166">
        <v>750</v>
      </c>
      <c r="E166" s="26">
        <v>505.3</v>
      </c>
      <c r="F166">
        <v>1230</v>
      </c>
      <c r="G166" s="27">
        <v>63.3</v>
      </c>
      <c r="H166" s="24">
        <f t="shared" si="12"/>
        <v>0.15496582624423616</v>
      </c>
      <c r="I166" s="25">
        <f t="shared" si="13"/>
        <v>0.31500804013921135</v>
      </c>
      <c r="J166" s="24">
        <f t="shared" si="14"/>
        <v>3.6218034924107276</v>
      </c>
      <c r="K166" s="14">
        <v>0.51</v>
      </c>
      <c r="L166" s="27">
        <v>3.16</v>
      </c>
      <c r="M166" s="27">
        <v>2.4500000000000002</v>
      </c>
      <c r="N166" s="4">
        <f t="shared" si="15"/>
        <v>1.2897959183673469</v>
      </c>
      <c r="O166" s="20">
        <f t="shared" si="16"/>
        <v>12.64</v>
      </c>
      <c r="P166">
        <f t="shared" si="17"/>
        <v>1143.0353080568723</v>
      </c>
    </row>
    <row r="167" spans="1:16">
      <c r="A167" t="s">
        <v>172</v>
      </c>
      <c r="B167" t="s">
        <v>508</v>
      </c>
      <c r="C167" s="14">
        <v>0.25</v>
      </c>
      <c r="D167">
        <v>1000</v>
      </c>
      <c r="E167" s="26">
        <v>505.3</v>
      </c>
      <c r="F167">
        <v>1230</v>
      </c>
      <c r="G167" s="27">
        <v>63.3</v>
      </c>
      <c r="H167" s="24">
        <f t="shared" si="12"/>
        <v>0.20662110165898151</v>
      </c>
      <c r="I167" s="25">
        <f t="shared" si="13"/>
        <v>0.56001429358082033</v>
      </c>
      <c r="J167" s="24">
        <f t="shared" si="14"/>
        <v>3.6218034924107294</v>
      </c>
      <c r="K167" s="14">
        <v>0.51</v>
      </c>
      <c r="L167" s="27">
        <v>3.01</v>
      </c>
      <c r="M167" s="27">
        <v>2.42</v>
      </c>
      <c r="N167" s="4">
        <f t="shared" si="15"/>
        <v>1.2438016528925619</v>
      </c>
      <c r="O167" s="20">
        <f t="shared" si="16"/>
        <v>12.04</v>
      </c>
      <c r="P167">
        <f t="shared" si="17"/>
        <v>1115.2139905213271</v>
      </c>
    </row>
    <row r="168" spans="1:16">
      <c r="A168" t="s">
        <v>173</v>
      </c>
      <c r="B168" t="s">
        <v>508</v>
      </c>
      <c r="C168" s="14">
        <v>0.25</v>
      </c>
      <c r="D168">
        <v>500</v>
      </c>
      <c r="E168" s="26">
        <v>505.3</v>
      </c>
      <c r="F168">
        <v>1230</v>
      </c>
      <c r="G168" s="27">
        <v>63.3</v>
      </c>
      <c r="H168" s="24">
        <f t="shared" si="12"/>
        <v>0.10331055082949075</v>
      </c>
      <c r="I168" s="25">
        <f t="shared" si="13"/>
        <v>0.14000357339520508</v>
      </c>
      <c r="J168" s="24">
        <f t="shared" si="14"/>
        <v>3.6218034924107294</v>
      </c>
      <c r="K168" s="14">
        <v>0.51</v>
      </c>
      <c r="L168" s="27">
        <v>3.28</v>
      </c>
      <c r="M168" s="27">
        <v>2.4900000000000002</v>
      </c>
      <c r="N168" s="4">
        <f t="shared" si="15"/>
        <v>1.3172690763052206</v>
      </c>
      <c r="O168" s="20">
        <f t="shared" si="16"/>
        <v>13.12</v>
      </c>
      <c r="P168">
        <f t="shared" si="17"/>
        <v>1180.6635924170621</v>
      </c>
    </row>
    <row r="169" spans="1:16">
      <c r="A169" t="s">
        <v>174</v>
      </c>
      <c r="B169" t="s">
        <v>508</v>
      </c>
      <c r="C169" s="14">
        <v>0.25</v>
      </c>
      <c r="D169">
        <v>250</v>
      </c>
      <c r="E169" s="26">
        <v>505.3</v>
      </c>
      <c r="F169">
        <v>1230</v>
      </c>
      <c r="G169" s="27">
        <v>63.3</v>
      </c>
      <c r="H169" s="24">
        <f t="shared" si="12"/>
        <v>5.1655275414745377E-2</v>
      </c>
      <c r="I169" s="25">
        <f t="shared" si="13"/>
        <v>3.5000893348801271E-2</v>
      </c>
      <c r="J169" s="24">
        <f t="shared" si="14"/>
        <v>3.6218034924107294</v>
      </c>
      <c r="K169" s="14">
        <v>0.51</v>
      </c>
      <c r="L169" s="27">
        <v>3.18</v>
      </c>
      <c r="M169" s="27">
        <v>2.35</v>
      </c>
      <c r="N169" s="4">
        <f t="shared" si="15"/>
        <v>1.3531914893617021</v>
      </c>
      <c r="O169" s="20">
        <f t="shared" si="16"/>
        <v>12.72</v>
      </c>
      <c r="P169">
        <f t="shared" si="17"/>
        <v>1051.6305687203794</v>
      </c>
    </row>
    <row r="170" spans="1:16">
      <c r="A170" t="s">
        <v>175</v>
      </c>
      <c r="B170" t="s">
        <v>508</v>
      </c>
      <c r="C170" s="14">
        <v>0.25</v>
      </c>
      <c r="D170">
        <v>100</v>
      </c>
      <c r="E170" s="26">
        <v>505.3</v>
      </c>
      <c r="F170">
        <v>1230</v>
      </c>
      <c r="G170" s="27">
        <v>63.3</v>
      </c>
      <c r="H170" s="24">
        <f t="shared" si="12"/>
        <v>2.0662110165898154E-2</v>
      </c>
      <c r="I170" s="25">
        <f t="shared" si="13"/>
        <v>5.6001429358082024E-3</v>
      </c>
      <c r="J170" s="24">
        <f t="shared" si="14"/>
        <v>3.6218034924107285</v>
      </c>
      <c r="K170" s="14">
        <v>0.51</v>
      </c>
      <c r="L170" s="27">
        <v>3.25</v>
      </c>
      <c r="M170" s="27">
        <v>2.44</v>
      </c>
      <c r="N170" s="4">
        <f t="shared" si="15"/>
        <v>1.3319672131147542</v>
      </c>
      <c r="O170" s="20">
        <f t="shared" si="16"/>
        <v>13</v>
      </c>
      <c r="P170">
        <f t="shared" si="17"/>
        <v>1133.7234502369668</v>
      </c>
    </row>
    <row r="171" spans="1:16">
      <c r="A171" t="s">
        <v>176</v>
      </c>
      <c r="B171" t="s">
        <v>498</v>
      </c>
      <c r="C171" s="14">
        <v>1.79</v>
      </c>
      <c r="D171">
        <v>1000</v>
      </c>
      <c r="E171" s="26">
        <v>1</v>
      </c>
      <c r="F171">
        <v>1000</v>
      </c>
      <c r="G171" s="27">
        <v>72</v>
      </c>
      <c r="H171" s="24">
        <f t="shared" ref="H171:H211" si="18">(4/60*F171*D171*10^(-9))/(PI()*C171*E171*10^(-6))</f>
        <v>11.855116803865576</v>
      </c>
      <c r="I171" s="25">
        <f t="shared" ref="I171:I211" si="19">(16 * F171 * (D171 * 10^-9 / 60)^2) / (PI()^2 * (C171 * 10^-3)^3 * (G171 * 10^-3))</f>
        <v>1.0905011982720045E-3</v>
      </c>
      <c r="J171" s="24">
        <f t="shared" si="14"/>
        <v>2.7855261269369817E-3</v>
      </c>
      <c r="K171" s="14">
        <v>2.4</v>
      </c>
      <c r="L171" s="27">
        <v>8.33</v>
      </c>
      <c r="M171" s="27">
        <v>4.13</v>
      </c>
      <c r="N171" s="4">
        <f t="shared" si="15"/>
        <v>2.0169491525423728</v>
      </c>
      <c r="O171" s="20">
        <f t="shared" si="16"/>
        <v>4.6536312849162007</v>
      </c>
      <c r="P171">
        <f t="shared" si="17"/>
        <v>2321.6336111111109</v>
      </c>
    </row>
    <row r="172" spans="1:16">
      <c r="A172" t="s">
        <v>177</v>
      </c>
      <c r="B172" t="s">
        <v>498</v>
      </c>
      <c r="C172" s="14">
        <v>1.79</v>
      </c>
      <c r="D172">
        <v>750</v>
      </c>
      <c r="E172" s="26">
        <v>1</v>
      </c>
      <c r="F172">
        <v>1000</v>
      </c>
      <c r="G172" s="27">
        <v>72</v>
      </c>
      <c r="H172" s="24">
        <f t="shared" si="18"/>
        <v>8.8913376028991813</v>
      </c>
      <c r="I172" s="25">
        <f t="shared" si="19"/>
        <v>6.1340692402800227E-4</v>
      </c>
      <c r="J172" s="24">
        <f t="shared" si="14"/>
        <v>2.7855261269369813E-3</v>
      </c>
      <c r="K172" s="14">
        <v>2.4</v>
      </c>
      <c r="L172" s="27">
        <v>8.39</v>
      </c>
      <c r="M172" s="27">
        <v>4.1399999999999997</v>
      </c>
      <c r="N172" s="4">
        <f t="shared" si="15"/>
        <v>2.0265700483091789</v>
      </c>
      <c r="O172" s="20">
        <f t="shared" si="16"/>
        <v>4.6871508379888267</v>
      </c>
      <c r="P172">
        <f t="shared" si="17"/>
        <v>2332.89</v>
      </c>
    </row>
    <row r="173" spans="1:16">
      <c r="A173" t="s">
        <v>178</v>
      </c>
      <c r="B173" t="s">
        <v>498</v>
      </c>
      <c r="C173" s="14">
        <v>1.79</v>
      </c>
      <c r="D173">
        <v>500</v>
      </c>
      <c r="E173" s="26">
        <v>1</v>
      </c>
      <c r="F173">
        <v>1000</v>
      </c>
      <c r="G173" s="27">
        <v>72</v>
      </c>
      <c r="H173" s="24">
        <f t="shared" si="18"/>
        <v>5.9275584019327878</v>
      </c>
      <c r="I173" s="25">
        <f t="shared" si="19"/>
        <v>2.7262529956800113E-4</v>
      </c>
      <c r="J173" s="24">
        <f t="shared" si="14"/>
        <v>2.7855261269369817E-3</v>
      </c>
      <c r="K173" s="14">
        <v>2.4</v>
      </c>
      <c r="L173" s="27">
        <v>8.41</v>
      </c>
      <c r="M173" s="27">
        <v>4.16</v>
      </c>
      <c r="N173" s="4">
        <f t="shared" si="15"/>
        <v>2.0216346153846154</v>
      </c>
      <c r="O173" s="20">
        <f t="shared" si="16"/>
        <v>4.6983240223463687</v>
      </c>
      <c r="P173">
        <f t="shared" si="17"/>
        <v>2355.4844444444448</v>
      </c>
    </row>
    <row r="174" spans="1:16">
      <c r="A174" t="s">
        <v>179</v>
      </c>
      <c r="B174" t="s">
        <v>498</v>
      </c>
      <c r="C174" s="14">
        <v>1.79</v>
      </c>
      <c r="D174">
        <v>250</v>
      </c>
      <c r="E174" s="26">
        <v>1</v>
      </c>
      <c r="F174">
        <v>1000</v>
      </c>
      <c r="G174" s="27">
        <v>72</v>
      </c>
      <c r="H174" s="24">
        <f t="shared" si="18"/>
        <v>2.9637792009663939</v>
      </c>
      <c r="I174" s="25">
        <f t="shared" si="19"/>
        <v>6.8156324892000282E-5</v>
      </c>
      <c r="J174" s="24">
        <f t="shared" si="14"/>
        <v>2.7855261269369817E-3</v>
      </c>
      <c r="K174" s="14">
        <v>2.4</v>
      </c>
      <c r="L174" s="27">
        <v>8.34</v>
      </c>
      <c r="M174" s="27">
        <v>4.1100000000000003</v>
      </c>
      <c r="N174" s="4">
        <f t="shared" si="15"/>
        <v>2.0291970802919708</v>
      </c>
      <c r="O174" s="20">
        <f t="shared" si="16"/>
        <v>4.6592178770949717</v>
      </c>
      <c r="P174">
        <f t="shared" si="17"/>
        <v>2299.2025000000008</v>
      </c>
    </row>
    <row r="175" spans="1:16">
      <c r="A175" t="s">
        <v>180</v>
      </c>
      <c r="B175" t="s">
        <v>498</v>
      </c>
      <c r="C175" s="14">
        <v>1.79</v>
      </c>
      <c r="D175">
        <v>100</v>
      </c>
      <c r="E175" s="26">
        <v>1</v>
      </c>
      <c r="F175">
        <v>1000</v>
      </c>
      <c r="G175" s="27">
        <v>72</v>
      </c>
      <c r="H175" s="24">
        <f t="shared" si="18"/>
        <v>1.1855116803865577</v>
      </c>
      <c r="I175" s="25">
        <f t="shared" si="19"/>
        <v>1.0905011982720043E-5</v>
      </c>
      <c r="J175" s="24">
        <f t="shared" si="14"/>
        <v>2.7855261269369809E-3</v>
      </c>
      <c r="K175" s="14">
        <v>2.4</v>
      </c>
      <c r="L175" s="27">
        <v>8.36</v>
      </c>
      <c r="M175" s="27">
        <v>4.0999999999999996</v>
      </c>
      <c r="N175" s="4">
        <f t="shared" si="15"/>
        <v>2.0390243902439025</v>
      </c>
      <c r="O175" s="20">
        <f t="shared" si="16"/>
        <v>4.6703910614525137</v>
      </c>
      <c r="P175">
        <f t="shared" si="17"/>
        <v>2288.0277777777778</v>
      </c>
    </row>
    <row r="176" spans="1:16">
      <c r="A176" t="s">
        <v>181</v>
      </c>
      <c r="B176" t="s">
        <v>498</v>
      </c>
      <c r="C176" s="14">
        <v>2.38</v>
      </c>
      <c r="D176">
        <v>100</v>
      </c>
      <c r="E176" s="26">
        <v>1</v>
      </c>
      <c r="F176">
        <v>1000</v>
      </c>
      <c r="G176" s="27">
        <v>72</v>
      </c>
      <c r="H176" s="24">
        <f t="shared" si="18"/>
        <v>0.89162433104703298</v>
      </c>
      <c r="I176" s="25">
        <f t="shared" si="19"/>
        <v>4.6393204231738381E-6</v>
      </c>
      <c r="J176" s="24">
        <f t="shared" ref="J176:J229" si="20">SQRT(I176)/H176</f>
        <v>2.415712648551868E-3</v>
      </c>
      <c r="K176" s="14">
        <v>2.8</v>
      </c>
      <c r="L176" s="27">
        <v>9.42</v>
      </c>
      <c r="M176" s="27">
        <v>4.2300000000000004</v>
      </c>
      <c r="N176" s="4">
        <f t="shared" ref="N176:N229" si="21">L176/M176</f>
        <v>2.226950354609929</v>
      </c>
      <c r="O176" s="20">
        <f t="shared" ref="O176:O229" si="22">L176/C176</f>
        <v>3.9579831932773111</v>
      </c>
      <c r="P176">
        <f t="shared" si="17"/>
        <v>2435.4225000000001</v>
      </c>
    </row>
    <row r="177" spans="1:16">
      <c r="A177" t="s">
        <v>182</v>
      </c>
      <c r="B177" t="s">
        <v>498</v>
      </c>
      <c r="C177" s="14">
        <v>2.38</v>
      </c>
      <c r="D177">
        <v>250</v>
      </c>
      <c r="E177" s="26">
        <v>1</v>
      </c>
      <c r="F177">
        <v>1000</v>
      </c>
      <c r="G177" s="27">
        <v>72</v>
      </c>
      <c r="H177" s="24">
        <f t="shared" si="18"/>
        <v>2.2290608276175825</v>
      </c>
      <c r="I177" s="25">
        <f t="shared" si="19"/>
        <v>2.8995752644836492E-5</v>
      </c>
      <c r="J177" s="24">
        <f t="shared" si="20"/>
        <v>2.415712648551868E-3</v>
      </c>
      <c r="K177" s="14">
        <v>2.8</v>
      </c>
      <c r="L177" s="27">
        <v>9.6</v>
      </c>
      <c r="M177" s="27">
        <v>4.26</v>
      </c>
      <c r="N177" s="4">
        <f t="shared" si="21"/>
        <v>2.2535211267605635</v>
      </c>
      <c r="O177" s="20">
        <f t="shared" si="22"/>
        <v>4.0336134453781511</v>
      </c>
      <c r="P177">
        <f t="shared" si="17"/>
        <v>2470.09</v>
      </c>
    </row>
    <row r="178" spans="1:16">
      <c r="A178" t="s">
        <v>183</v>
      </c>
      <c r="B178" t="s">
        <v>498</v>
      </c>
      <c r="C178" s="14">
        <v>2.38</v>
      </c>
      <c r="D178">
        <v>500</v>
      </c>
      <c r="E178" s="26">
        <v>1</v>
      </c>
      <c r="F178">
        <v>1000</v>
      </c>
      <c r="G178" s="27">
        <v>72</v>
      </c>
      <c r="H178" s="24">
        <f t="shared" si="18"/>
        <v>4.458121655235165</v>
      </c>
      <c r="I178" s="25">
        <f t="shared" si="19"/>
        <v>1.1598301057934597E-4</v>
      </c>
      <c r="J178" s="24">
        <f t="shared" si="20"/>
        <v>2.415712648551868E-3</v>
      </c>
      <c r="K178" s="14">
        <v>2.8</v>
      </c>
      <c r="L178" s="27">
        <v>9.6999999999999993</v>
      </c>
      <c r="M178" s="27">
        <v>4.3099999999999996</v>
      </c>
      <c r="N178" s="4">
        <f t="shared" si="21"/>
        <v>2.2505800464037122</v>
      </c>
      <c r="O178" s="20">
        <f t="shared" si="22"/>
        <v>4.0756302521008401</v>
      </c>
      <c r="P178">
        <f t="shared" si="17"/>
        <v>2528.4136111111111</v>
      </c>
    </row>
    <row r="179" spans="1:16">
      <c r="A179" t="s">
        <v>184</v>
      </c>
      <c r="B179" t="s">
        <v>498</v>
      </c>
      <c r="C179" s="14">
        <v>2.38</v>
      </c>
      <c r="D179">
        <v>750</v>
      </c>
      <c r="E179" s="26">
        <v>1</v>
      </c>
      <c r="F179">
        <v>1000</v>
      </c>
      <c r="G179" s="27">
        <v>72</v>
      </c>
      <c r="H179" s="24">
        <f t="shared" si="18"/>
        <v>6.6871824828527471</v>
      </c>
      <c r="I179" s="25">
        <f t="shared" si="19"/>
        <v>2.6096177380352834E-4</v>
      </c>
      <c r="J179" s="24">
        <f t="shared" si="20"/>
        <v>2.415712648551868E-3</v>
      </c>
      <c r="K179" s="14">
        <v>2.8</v>
      </c>
      <c r="L179" s="27">
        <v>9.73</v>
      </c>
      <c r="M179" s="27">
        <v>4.3</v>
      </c>
      <c r="N179" s="4">
        <f t="shared" si="21"/>
        <v>2.262790697674419</v>
      </c>
      <c r="O179" s="20">
        <f t="shared" si="22"/>
        <v>4.0882352941176476</v>
      </c>
      <c r="P179">
        <f t="shared" si="17"/>
        <v>2516.6944444444443</v>
      </c>
    </row>
    <row r="180" spans="1:16" s="40" customFormat="1">
      <c r="A180" s="40" t="s">
        <v>185</v>
      </c>
      <c r="B180" s="40" t="s">
        <v>498</v>
      </c>
      <c r="C180" s="41">
        <v>2.38</v>
      </c>
      <c r="D180" s="40">
        <v>1000</v>
      </c>
      <c r="E180" s="42">
        <v>1</v>
      </c>
      <c r="F180" s="40">
        <v>1000</v>
      </c>
      <c r="G180" s="43">
        <v>72</v>
      </c>
      <c r="H180" s="44">
        <f t="shared" si="18"/>
        <v>8.91624331047033</v>
      </c>
      <c r="I180" s="45">
        <f t="shared" si="19"/>
        <v>4.6393204231738388E-4</v>
      </c>
      <c r="J180" s="44">
        <f t="shared" si="20"/>
        <v>2.415712648551868E-3</v>
      </c>
      <c r="K180" s="41">
        <v>2.8</v>
      </c>
      <c r="L180" s="43">
        <v>9.81</v>
      </c>
      <c r="M180" s="43">
        <v>4.33</v>
      </c>
      <c r="N180" s="46">
        <f t="shared" si="21"/>
        <v>2.2655889145496535</v>
      </c>
      <c r="O180" s="47">
        <f t="shared" si="22"/>
        <v>4.1218487394957988</v>
      </c>
      <c r="P180">
        <f t="shared" si="17"/>
        <v>2551.9336111111115</v>
      </c>
    </row>
    <row r="181" spans="1:16">
      <c r="A181" t="s">
        <v>186</v>
      </c>
      <c r="B181" t="s">
        <v>499</v>
      </c>
      <c r="C181" s="14">
        <v>1.79</v>
      </c>
      <c r="D181">
        <v>100</v>
      </c>
      <c r="E181" s="26">
        <v>1.5</v>
      </c>
      <c r="F181">
        <v>1005</v>
      </c>
      <c r="G181" s="27">
        <v>71.5</v>
      </c>
      <c r="H181" s="24">
        <f t="shared" si="18"/>
        <v>0.79429282585899375</v>
      </c>
      <c r="I181" s="25">
        <f t="shared" si="19"/>
        <v>1.10361771618129E-5</v>
      </c>
      <c r="J181" s="24">
        <f t="shared" si="20"/>
        <v>4.1824301034326956E-3</v>
      </c>
      <c r="K181" s="14">
        <v>2.4</v>
      </c>
      <c r="L181" s="27">
        <v>8.33</v>
      </c>
      <c r="M181" s="27">
        <v>4</v>
      </c>
      <c r="N181" s="4">
        <f t="shared" si="21"/>
        <v>2.0825</v>
      </c>
      <c r="O181" s="20">
        <f t="shared" si="22"/>
        <v>4.6536312849162007</v>
      </c>
      <c r="P181">
        <f t="shared" si="17"/>
        <v>2203.9720279720282</v>
      </c>
    </row>
    <row r="182" spans="1:16">
      <c r="A182" t="s">
        <v>187</v>
      </c>
      <c r="B182" t="s">
        <v>499</v>
      </c>
      <c r="C182" s="14">
        <v>1.79</v>
      </c>
      <c r="D182">
        <v>250</v>
      </c>
      <c r="E182" s="26">
        <v>1.5</v>
      </c>
      <c r="F182">
        <v>1005</v>
      </c>
      <c r="G182" s="27">
        <v>71.5</v>
      </c>
      <c r="H182" s="24">
        <f t="shared" si="18"/>
        <v>1.9857320646474843</v>
      </c>
      <c r="I182" s="25">
        <f t="shared" si="19"/>
        <v>6.8976107261330634E-5</v>
      </c>
      <c r="J182" s="24">
        <f t="shared" si="20"/>
        <v>4.1824301034326964E-3</v>
      </c>
      <c r="K182" s="14">
        <v>2.4</v>
      </c>
      <c r="L182" s="27">
        <v>8.42</v>
      </c>
      <c r="M182" s="27">
        <v>4.01</v>
      </c>
      <c r="N182" s="4">
        <f t="shared" si="21"/>
        <v>2.0997506234413965</v>
      </c>
      <c r="O182" s="20">
        <f t="shared" si="22"/>
        <v>4.7039106145251397</v>
      </c>
      <c r="P182">
        <f t="shared" si="17"/>
        <v>2215.0056629370629</v>
      </c>
    </row>
    <row r="183" spans="1:16">
      <c r="A183" t="s">
        <v>188</v>
      </c>
      <c r="B183" t="s">
        <v>499</v>
      </c>
      <c r="C183" s="14">
        <v>1.79</v>
      </c>
      <c r="D183">
        <v>500</v>
      </c>
      <c r="E183" s="26">
        <v>1.5</v>
      </c>
      <c r="F183">
        <v>1005</v>
      </c>
      <c r="G183" s="27">
        <v>71.5</v>
      </c>
      <c r="H183" s="24">
        <f t="shared" si="18"/>
        <v>3.9714641292949686</v>
      </c>
      <c r="I183" s="25">
        <f t="shared" si="19"/>
        <v>2.7590442904532254E-4</v>
      </c>
      <c r="J183" s="24">
        <f t="shared" si="20"/>
        <v>4.1824301034326964E-3</v>
      </c>
      <c r="K183" s="14">
        <v>2.4</v>
      </c>
      <c r="L183" s="27">
        <v>8.7200000000000006</v>
      </c>
      <c r="M183" s="27">
        <v>4.04</v>
      </c>
      <c r="N183" s="4">
        <f t="shared" si="21"/>
        <v>2.1584158415841586</v>
      </c>
      <c r="O183" s="20">
        <f t="shared" si="22"/>
        <v>4.8715083798882688</v>
      </c>
      <c r="P183">
        <f t="shared" si="17"/>
        <v>2248.2718657342657</v>
      </c>
    </row>
    <row r="184" spans="1:16">
      <c r="A184" t="s">
        <v>189</v>
      </c>
      <c r="B184" t="s">
        <v>499</v>
      </c>
      <c r="C184" s="14">
        <v>1.79</v>
      </c>
      <c r="D184">
        <v>750</v>
      </c>
      <c r="E184" s="26">
        <v>1.5</v>
      </c>
      <c r="F184">
        <v>1005</v>
      </c>
      <c r="G184" s="27">
        <v>71.5</v>
      </c>
      <c r="H184" s="24">
        <f t="shared" si="18"/>
        <v>5.9571961939424529</v>
      </c>
      <c r="I184" s="25">
        <f t="shared" si="19"/>
        <v>6.2078496535197553E-4</v>
      </c>
      <c r="J184" s="24">
        <f t="shared" si="20"/>
        <v>4.1824301034326956E-3</v>
      </c>
      <c r="K184" s="14">
        <v>2.4</v>
      </c>
      <c r="L184" s="27">
        <v>8.65</v>
      </c>
      <c r="M184" s="27">
        <v>4.04</v>
      </c>
      <c r="N184" s="4">
        <f t="shared" si="21"/>
        <v>2.141089108910891</v>
      </c>
      <c r="O184" s="20">
        <f t="shared" si="22"/>
        <v>4.8324022346368718</v>
      </c>
      <c r="P184">
        <f t="shared" si="17"/>
        <v>2248.2718657342657</v>
      </c>
    </row>
    <row r="185" spans="1:16">
      <c r="A185" t="s">
        <v>190</v>
      </c>
      <c r="B185" t="s">
        <v>499</v>
      </c>
      <c r="C185" s="14">
        <v>1.79</v>
      </c>
      <c r="D185">
        <v>1000</v>
      </c>
      <c r="E185" s="26">
        <v>1.5</v>
      </c>
      <c r="F185">
        <v>1005</v>
      </c>
      <c r="G185" s="27">
        <v>71.5</v>
      </c>
      <c r="H185" s="24">
        <f t="shared" si="18"/>
        <v>7.9429282585899372</v>
      </c>
      <c r="I185" s="25">
        <f t="shared" si="19"/>
        <v>1.1036177161812901E-3</v>
      </c>
      <c r="J185" s="24">
        <f t="shared" si="20"/>
        <v>4.1824301034326964E-3</v>
      </c>
      <c r="K185" s="14">
        <v>2.4</v>
      </c>
      <c r="L185" s="27">
        <v>8.43</v>
      </c>
      <c r="M185" s="27">
        <v>4.0199999999999996</v>
      </c>
      <c r="N185" s="4">
        <f t="shared" si="21"/>
        <v>2.0970149253731343</v>
      </c>
      <c r="O185" s="20">
        <f t="shared" si="22"/>
        <v>4.7094972067039107</v>
      </c>
      <c r="P185">
        <f t="shared" si="17"/>
        <v>2226.0668475524471</v>
      </c>
    </row>
    <row r="186" spans="1:16">
      <c r="A186" t="s">
        <v>191</v>
      </c>
      <c r="B186" t="s">
        <v>499</v>
      </c>
      <c r="C186" s="14">
        <v>2.38</v>
      </c>
      <c r="D186">
        <v>1000</v>
      </c>
      <c r="E186" s="26">
        <v>1.5</v>
      </c>
      <c r="F186">
        <v>1005</v>
      </c>
      <c r="G186" s="27">
        <v>71.5</v>
      </c>
      <c r="H186" s="24">
        <f t="shared" si="18"/>
        <v>5.9738830180151199</v>
      </c>
      <c r="I186" s="25">
        <f t="shared" si="19"/>
        <v>4.6951220394525733E-4</v>
      </c>
      <c r="J186" s="24">
        <f t="shared" si="20"/>
        <v>3.6271601277911994E-3</v>
      </c>
      <c r="K186" s="14">
        <v>2.8</v>
      </c>
      <c r="L186" s="27">
        <v>10.039999999999999</v>
      </c>
      <c r="M186" s="27">
        <v>4.2699999999999996</v>
      </c>
      <c r="N186" s="4">
        <f t="shared" si="21"/>
        <v>2.3512880562060889</v>
      </c>
      <c r="O186" s="20">
        <f t="shared" si="22"/>
        <v>4.2184873949579833</v>
      </c>
      <c r="P186">
        <f t="shared" si="17"/>
        <v>2511.550099300699</v>
      </c>
    </row>
    <row r="187" spans="1:16">
      <c r="A187" t="s">
        <v>192</v>
      </c>
      <c r="B187" t="s">
        <v>499</v>
      </c>
      <c r="C187" s="14">
        <v>2.38</v>
      </c>
      <c r="D187">
        <v>750</v>
      </c>
      <c r="E187" s="26">
        <v>1.5</v>
      </c>
      <c r="F187">
        <v>1005</v>
      </c>
      <c r="G187" s="27">
        <v>71.5</v>
      </c>
      <c r="H187" s="24">
        <f t="shared" si="18"/>
        <v>4.4804122635113401</v>
      </c>
      <c r="I187" s="25">
        <f t="shared" si="19"/>
        <v>2.641006147192072E-4</v>
      </c>
      <c r="J187" s="24">
        <f t="shared" si="20"/>
        <v>3.627160127791199E-3</v>
      </c>
      <c r="K187" s="14">
        <v>2.8</v>
      </c>
      <c r="L187" s="27">
        <v>10.09</v>
      </c>
      <c r="M187" s="27">
        <v>4.29</v>
      </c>
      <c r="N187" s="4">
        <f t="shared" si="21"/>
        <v>2.3519813519813519</v>
      </c>
      <c r="O187" s="20">
        <f t="shared" si="22"/>
        <v>4.2394957983193278</v>
      </c>
      <c r="P187">
        <f t="shared" si="17"/>
        <v>2535.1326000000004</v>
      </c>
    </row>
    <row r="188" spans="1:16">
      <c r="A188" t="s">
        <v>193</v>
      </c>
      <c r="B188" t="s">
        <v>499</v>
      </c>
      <c r="C188" s="14">
        <v>2.38</v>
      </c>
      <c r="D188">
        <v>500</v>
      </c>
      <c r="E188" s="26">
        <v>1.5</v>
      </c>
      <c r="F188">
        <v>1005</v>
      </c>
      <c r="G188" s="27">
        <v>71.5</v>
      </c>
      <c r="H188" s="24">
        <f t="shared" si="18"/>
        <v>2.9869415090075599</v>
      </c>
      <c r="I188" s="25">
        <f t="shared" si="19"/>
        <v>1.1737805098631433E-4</v>
      </c>
      <c r="J188" s="24">
        <f t="shared" si="20"/>
        <v>3.6271601277911994E-3</v>
      </c>
      <c r="K188" s="14">
        <v>2.8</v>
      </c>
      <c r="L188" s="27">
        <v>10.08</v>
      </c>
      <c r="M188" s="27">
        <v>4.28</v>
      </c>
      <c r="N188" s="4">
        <f t="shared" si="21"/>
        <v>2.3551401869158877</v>
      </c>
      <c r="O188" s="20">
        <f t="shared" si="22"/>
        <v>4.2352941176470589</v>
      </c>
      <c r="P188">
        <f t="shared" si="17"/>
        <v>2523.3275748251754</v>
      </c>
    </row>
    <row r="189" spans="1:16">
      <c r="A189" t="s">
        <v>194</v>
      </c>
      <c r="B189" t="s">
        <v>499</v>
      </c>
      <c r="C189" s="14">
        <v>2.38</v>
      </c>
      <c r="D189">
        <v>250</v>
      </c>
      <c r="E189" s="26">
        <v>1.5</v>
      </c>
      <c r="F189">
        <v>1005</v>
      </c>
      <c r="G189" s="27">
        <v>71.5</v>
      </c>
      <c r="H189" s="24">
        <f t="shared" si="18"/>
        <v>1.49347075450378</v>
      </c>
      <c r="I189" s="25">
        <f t="shared" si="19"/>
        <v>2.9344512746578583E-5</v>
      </c>
      <c r="J189" s="24">
        <f t="shared" si="20"/>
        <v>3.6271601277911994E-3</v>
      </c>
      <c r="K189" s="14">
        <v>2.8</v>
      </c>
      <c r="L189" s="27">
        <v>10.029999999999999</v>
      </c>
      <c r="M189" s="27">
        <v>4.2699999999999996</v>
      </c>
      <c r="N189" s="4">
        <f t="shared" si="21"/>
        <v>2.3489461358313819</v>
      </c>
      <c r="O189" s="20">
        <f t="shared" si="22"/>
        <v>4.2142857142857144</v>
      </c>
      <c r="P189">
        <f t="shared" si="17"/>
        <v>2511.550099300699</v>
      </c>
    </row>
    <row r="190" spans="1:16">
      <c r="A190" t="s">
        <v>195</v>
      </c>
      <c r="B190" t="s">
        <v>499</v>
      </c>
      <c r="C190" s="14">
        <v>2.38</v>
      </c>
      <c r="D190">
        <v>100</v>
      </c>
      <c r="E190" s="26">
        <v>1.5</v>
      </c>
      <c r="F190">
        <v>1005</v>
      </c>
      <c r="G190" s="27">
        <v>71.5</v>
      </c>
      <c r="H190" s="24">
        <f t="shared" si="18"/>
        <v>0.59738830180151203</v>
      </c>
      <c r="I190" s="25">
        <f t="shared" si="19"/>
        <v>4.6951220394525724E-6</v>
      </c>
      <c r="J190" s="24">
        <f t="shared" si="20"/>
        <v>3.6271601277911986E-3</v>
      </c>
      <c r="K190" s="14">
        <v>2.8</v>
      </c>
      <c r="L190" s="27">
        <v>10.029999999999999</v>
      </c>
      <c r="M190" s="27">
        <v>4.26</v>
      </c>
      <c r="N190" s="4">
        <f t="shared" si="21"/>
        <v>2.3544600938967135</v>
      </c>
      <c r="O190" s="20">
        <f t="shared" si="22"/>
        <v>4.2142857142857144</v>
      </c>
      <c r="P190">
        <f t="shared" si="17"/>
        <v>2499.8001734265736</v>
      </c>
    </row>
    <row r="191" spans="1:16">
      <c r="A191" t="s">
        <v>196</v>
      </c>
      <c r="B191" t="s">
        <v>503</v>
      </c>
      <c r="C191" s="14">
        <v>1.79</v>
      </c>
      <c r="D191">
        <v>1000</v>
      </c>
      <c r="E191" s="26">
        <v>2.8</v>
      </c>
      <c r="F191">
        <v>1033</v>
      </c>
      <c r="G191" s="27">
        <v>69.2</v>
      </c>
      <c r="H191" s="24">
        <f t="shared" si="18"/>
        <v>4.3736913065689773</v>
      </c>
      <c r="I191" s="25">
        <f t="shared" si="19"/>
        <v>1.1720681665126967E-3</v>
      </c>
      <c r="J191" s="24">
        <f t="shared" si="20"/>
        <v>7.8275942917828533E-3</v>
      </c>
      <c r="K191" s="14">
        <v>2.4</v>
      </c>
      <c r="L191" s="27">
        <v>8.5299999999999994</v>
      </c>
      <c r="M191" s="27">
        <v>3.94</v>
      </c>
      <c r="N191" s="4">
        <f t="shared" si="21"/>
        <v>2.1649746192893398</v>
      </c>
      <c r="O191" s="20">
        <f t="shared" si="22"/>
        <v>4.7653631284916198</v>
      </c>
      <c r="P191">
        <f t="shared" si="17"/>
        <v>2270.9770554913298</v>
      </c>
    </row>
    <row r="192" spans="1:16">
      <c r="A192" t="s">
        <v>197</v>
      </c>
      <c r="B192" t="s">
        <v>503</v>
      </c>
      <c r="C192" s="14">
        <v>1.79</v>
      </c>
      <c r="D192">
        <v>750</v>
      </c>
      <c r="E192" s="26">
        <v>2.8</v>
      </c>
      <c r="F192">
        <v>1033</v>
      </c>
      <c r="G192" s="27">
        <v>69.2</v>
      </c>
      <c r="H192" s="24">
        <f t="shared" si="18"/>
        <v>3.2802684799267334</v>
      </c>
      <c r="I192" s="25">
        <f t="shared" si="19"/>
        <v>6.5928834366339175E-4</v>
      </c>
      <c r="J192" s="24">
        <f t="shared" si="20"/>
        <v>7.8275942917828516E-3</v>
      </c>
      <c r="K192" s="14">
        <v>2.4</v>
      </c>
      <c r="L192" s="27">
        <v>8.59</v>
      </c>
      <c r="M192" s="27">
        <v>3.93</v>
      </c>
      <c r="N192" s="4">
        <f t="shared" si="21"/>
        <v>2.1857506361323153</v>
      </c>
      <c r="O192" s="20">
        <f t="shared" si="22"/>
        <v>4.7988826815642458</v>
      </c>
      <c r="P192">
        <f t="shared" si="17"/>
        <v>2259.4638823699424</v>
      </c>
    </row>
    <row r="193" spans="1:16">
      <c r="A193" t="s">
        <v>198</v>
      </c>
      <c r="B193" t="s">
        <v>502</v>
      </c>
      <c r="C193" s="14">
        <v>1.79</v>
      </c>
      <c r="D193">
        <v>500</v>
      </c>
      <c r="E193" s="26">
        <v>2.8</v>
      </c>
      <c r="F193">
        <v>1033</v>
      </c>
      <c r="G193" s="27">
        <v>69.2</v>
      </c>
      <c r="H193" s="24">
        <f t="shared" si="18"/>
        <v>2.1868456532844887</v>
      </c>
      <c r="I193" s="25">
        <f t="shared" si="19"/>
        <v>2.9301704162817418E-4</v>
      </c>
      <c r="J193" s="24">
        <f t="shared" si="20"/>
        <v>7.8275942917828533E-3</v>
      </c>
      <c r="K193" s="14">
        <v>2.4</v>
      </c>
      <c r="L193" s="27">
        <v>8.4700000000000006</v>
      </c>
      <c r="M193" s="27">
        <v>3.92</v>
      </c>
      <c r="N193" s="4">
        <f t="shared" si="21"/>
        <v>2.160714285714286</v>
      </c>
      <c r="O193" s="20">
        <f t="shared" si="22"/>
        <v>4.7318435754189947</v>
      </c>
      <c r="P193">
        <f t="shared" si="17"/>
        <v>2247.9799676300581</v>
      </c>
    </row>
    <row r="194" spans="1:16">
      <c r="A194" t="s">
        <v>199</v>
      </c>
      <c r="B194" t="s">
        <v>502</v>
      </c>
      <c r="C194" s="14">
        <v>1.79</v>
      </c>
      <c r="D194">
        <v>250</v>
      </c>
      <c r="E194" s="26">
        <v>2.8</v>
      </c>
      <c r="F194">
        <v>1033</v>
      </c>
      <c r="G194" s="27">
        <v>69.2</v>
      </c>
      <c r="H194" s="24">
        <f t="shared" si="18"/>
        <v>1.0934228266422443</v>
      </c>
      <c r="I194" s="25">
        <f t="shared" si="19"/>
        <v>7.3254260407043544E-5</v>
      </c>
      <c r="J194" s="24">
        <f t="shared" si="20"/>
        <v>7.8275942917828533E-3</v>
      </c>
      <c r="K194" s="14">
        <v>2.4</v>
      </c>
      <c r="L194" s="27">
        <v>8.6</v>
      </c>
      <c r="M194" s="27">
        <v>3.95</v>
      </c>
      <c r="N194" s="4">
        <f t="shared" si="21"/>
        <v>2.1772151898734173</v>
      </c>
      <c r="O194" s="20">
        <f t="shared" si="22"/>
        <v>4.8044692737430168</v>
      </c>
      <c r="P194">
        <f t="shared" si="17"/>
        <v>2282.5194869942197</v>
      </c>
    </row>
    <row r="195" spans="1:16">
      <c r="A195" t="s">
        <v>200</v>
      </c>
      <c r="B195" t="s">
        <v>502</v>
      </c>
      <c r="C195" s="14">
        <v>1.79</v>
      </c>
      <c r="D195">
        <v>100</v>
      </c>
      <c r="E195" s="26">
        <v>2.8</v>
      </c>
      <c r="F195">
        <v>1033</v>
      </c>
      <c r="G195" s="27">
        <v>69.2</v>
      </c>
      <c r="H195" s="24">
        <f t="shared" si="18"/>
        <v>0.43736913065689775</v>
      </c>
      <c r="I195" s="25">
        <f t="shared" si="19"/>
        <v>1.1720681665126964E-5</v>
      </c>
      <c r="J195" s="24">
        <f t="shared" si="20"/>
        <v>7.8275942917828516E-3</v>
      </c>
      <c r="K195" s="14">
        <v>2.4</v>
      </c>
      <c r="L195" s="27">
        <v>8.25</v>
      </c>
      <c r="M195" s="27">
        <v>3.87</v>
      </c>
      <c r="N195" s="4">
        <f t="shared" si="21"/>
        <v>2.1317829457364339</v>
      </c>
      <c r="O195" s="20">
        <f t="shared" si="22"/>
        <v>4.6089385474860336</v>
      </c>
      <c r="P195">
        <f t="shared" si="17"/>
        <v>2190.9992696531795</v>
      </c>
    </row>
    <row r="196" spans="1:16">
      <c r="A196" t="s">
        <v>201</v>
      </c>
      <c r="B196" t="s">
        <v>502</v>
      </c>
      <c r="C196" s="14">
        <v>2.38</v>
      </c>
      <c r="D196">
        <v>1000</v>
      </c>
      <c r="E196" s="26">
        <v>2.8</v>
      </c>
      <c r="F196">
        <v>1033</v>
      </c>
      <c r="G196" s="27">
        <v>69.2</v>
      </c>
      <c r="H196" s="24">
        <f t="shared" si="18"/>
        <v>3.2894569070413744</v>
      </c>
      <c r="I196" s="25">
        <f t="shared" si="19"/>
        <v>4.9863308640748193E-4</v>
      </c>
      <c r="J196" s="24">
        <f t="shared" si="20"/>
        <v>6.7883831192727629E-3</v>
      </c>
      <c r="K196" s="14">
        <v>2.8</v>
      </c>
      <c r="L196" s="27">
        <v>10.02</v>
      </c>
      <c r="M196" s="27">
        <v>4.2</v>
      </c>
      <c r="N196" s="4">
        <f t="shared" si="21"/>
        <v>2.3857142857142857</v>
      </c>
      <c r="O196" s="20">
        <f t="shared" si="22"/>
        <v>4.2100840336134455</v>
      </c>
      <c r="P196">
        <f t="shared" ref="P196:P259" si="23">F196*M196*M196*9.8/G196</f>
        <v>2580.5892485549139</v>
      </c>
    </row>
    <row r="197" spans="1:16">
      <c r="A197" t="s">
        <v>202</v>
      </c>
      <c r="B197" t="s">
        <v>502</v>
      </c>
      <c r="C197" s="14">
        <v>2.38</v>
      </c>
      <c r="D197">
        <v>750</v>
      </c>
      <c r="E197" s="26">
        <v>2.8</v>
      </c>
      <c r="F197">
        <v>1033</v>
      </c>
      <c r="G197" s="27">
        <v>69.2</v>
      </c>
      <c r="H197" s="24">
        <f t="shared" si="18"/>
        <v>2.4670926802810307</v>
      </c>
      <c r="I197" s="25">
        <f t="shared" si="19"/>
        <v>2.8048111110420853E-4</v>
      </c>
      <c r="J197" s="24">
        <f t="shared" si="20"/>
        <v>6.7883831192727621E-3</v>
      </c>
      <c r="K197" s="14">
        <v>2.8</v>
      </c>
      <c r="L197" s="27">
        <v>10.1</v>
      </c>
      <c r="M197" s="27">
        <v>4.18</v>
      </c>
      <c r="N197" s="4">
        <f t="shared" si="21"/>
        <v>2.4162679425837323</v>
      </c>
      <c r="O197" s="20">
        <f t="shared" si="22"/>
        <v>4.2436974789915967</v>
      </c>
      <c r="P197">
        <f t="shared" si="23"/>
        <v>2556.0707248554909</v>
      </c>
    </row>
    <row r="198" spans="1:16">
      <c r="A198" t="s">
        <v>203</v>
      </c>
      <c r="B198" t="s">
        <v>502</v>
      </c>
      <c r="C198" s="14">
        <v>2.38</v>
      </c>
      <c r="D198">
        <v>500</v>
      </c>
      <c r="E198" s="26">
        <v>2.8</v>
      </c>
      <c r="F198">
        <v>1033</v>
      </c>
      <c r="G198" s="27">
        <v>69.2</v>
      </c>
      <c r="H198" s="24">
        <f t="shared" si="18"/>
        <v>1.6447284535206872</v>
      </c>
      <c r="I198" s="25">
        <f t="shared" si="19"/>
        <v>1.2465827160187048E-4</v>
      </c>
      <c r="J198" s="24">
        <f t="shared" si="20"/>
        <v>6.7883831192727629E-3</v>
      </c>
      <c r="K198" s="14">
        <v>2.8</v>
      </c>
      <c r="L198" s="27">
        <v>10.01</v>
      </c>
      <c r="M198" s="27">
        <v>4.17</v>
      </c>
      <c r="N198" s="4">
        <f t="shared" si="21"/>
        <v>2.4004796163069546</v>
      </c>
      <c r="O198" s="20">
        <f t="shared" si="22"/>
        <v>4.2058823529411766</v>
      </c>
      <c r="P198">
        <f t="shared" si="23"/>
        <v>2543.8553505780342</v>
      </c>
    </row>
    <row r="199" spans="1:16">
      <c r="A199" t="s">
        <v>204</v>
      </c>
      <c r="B199" t="s">
        <v>502</v>
      </c>
      <c r="C199" s="14">
        <v>2.38</v>
      </c>
      <c r="D199">
        <v>250</v>
      </c>
      <c r="E199" s="26">
        <v>2.8</v>
      </c>
      <c r="F199">
        <v>1033</v>
      </c>
      <c r="G199" s="27">
        <v>69.2</v>
      </c>
      <c r="H199" s="24">
        <f t="shared" si="18"/>
        <v>0.8223642267603436</v>
      </c>
      <c r="I199" s="25">
        <f t="shared" si="19"/>
        <v>3.116456790046762E-5</v>
      </c>
      <c r="J199" s="24">
        <f t="shared" si="20"/>
        <v>6.7883831192727629E-3</v>
      </c>
      <c r="K199" s="14">
        <v>2.8</v>
      </c>
      <c r="L199" s="27">
        <v>9.9499999999999993</v>
      </c>
      <c r="M199" s="27">
        <v>4.13</v>
      </c>
      <c r="N199" s="4">
        <f t="shared" si="21"/>
        <v>2.4092009685230025</v>
      </c>
      <c r="O199" s="20">
        <f t="shared" si="22"/>
        <v>4.1806722689075633</v>
      </c>
      <c r="P199">
        <f t="shared" si="23"/>
        <v>2495.2864372832369</v>
      </c>
    </row>
    <row r="200" spans="1:16">
      <c r="A200" t="s">
        <v>205</v>
      </c>
      <c r="B200" t="s">
        <v>503</v>
      </c>
      <c r="C200" s="14">
        <v>2.38</v>
      </c>
      <c r="D200">
        <v>100</v>
      </c>
      <c r="E200" s="26">
        <v>2.8</v>
      </c>
      <c r="F200">
        <v>1033</v>
      </c>
      <c r="G200" s="27">
        <v>69.2</v>
      </c>
      <c r="H200" s="24">
        <f t="shared" si="18"/>
        <v>0.32894569070413748</v>
      </c>
      <c r="I200" s="25">
        <f t="shared" si="19"/>
        <v>4.9863308640748186E-6</v>
      </c>
      <c r="J200" s="24">
        <f t="shared" si="20"/>
        <v>6.7883831192727621E-3</v>
      </c>
      <c r="K200" s="14">
        <v>2.8</v>
      </c>
      <c r="L200" s="27">
        <v>9.9</v>
      </c>
      <c r="M200" s="27">
        <v>4.1100000000000003</v>
      </c>
      <c r="N200" s="4">
        <f t="shared" si="21"/>
        <v>2.4087591240875912</v>
      </c>
      <c r="O200" s="20">
        <f t="shared" si="22"/>
        <v>4.1596638655462188</v>
      </c>
      <c r="P200">
        <f t="shared" si="23"/>
        <v>2471.1775309248555</v>
      </c>
    </row>
    <row r="201" spans="1:16" s="16" customFormat="1">
      <c r="A201" s="16" t="s">
        <v>206</v>
      </c>
      <c r="B201" s="16" t="s">
        <v>501</v>
      </c>
      <c r="C201" s="18">
        <v>1.79</v>
      </c>
      <c r="D201" s="16">
        <v>100</v>
      </c>
      <c r="E201" s="36">
        <v>6.8</v>
      </c>
      <c r="F201" s="16">
        <v>1082</v>
      </c>
      <c r="G201" s="32">
        <v>67.400000000000006</v>
      </c>
      <c r="H201" s="39">
        <f t="shared" si="18"/>
        <v>0.18863582914386104</v>
      </c>
      <c r="I201" s="35">
        <f t="shared" si="19"/>
        <v>1.260451117955226E-5</v>
      </c>
      <c r="J201" s="39">
        <f t="shared" si="20"/>
        <v>1.8820832020823221E-2</v>
      </c>
      <c r="K201" s="18">
        <v>2.4</v>
      </c>
      <c r="L201" s="32">
        <v>8.33</v>
      </c>
      <c r="M201" s="32">
        <v>3.73</v>
      </c>
      <c r="N201" s="4">
        <f t="shared" si="21"/>
        <v>2.2332439678284182</v>
      </c>
      <c r="O201" s="20">
        <f t="shared" si="22"/>
        <v>4.6536312849162007</v>
      </c>
      <c r="P201">
        <f t="shared" si="23"/>
        <v>2188.8253181008904</v>
      </c>
    </row>
    <row r="202" spans="1:16" s="16" customFormat="1">
      <c r="A202" s="16" t="s">
        <v>207</v>
      </c>
      <c r="B202" s="16" t="s">
        <v>501</v>
      </c>
      <c r="C202" s="18">
        <v>1.79</v>
      </c>
      <c r="D202" s="16">
        <v>250</v>
      </c>
      <c r="E202" s="36">
        <v>6.8</v>
      </c>
      <c r="F202" s="16">
        <v>1082</v>
      </c>
      <c r="G202" s="32">
        <v>67.400000000000006</v>
      </c>
      <c r="H202" s="39">
        <f t="shared" si="18"/>
        <v>0.47158957285965264</v>
      </c>
      <c r="I202" s="35">
        <f t="shared" si="19"/>
        <v>7.8778194872201624E-5</v>
      </c>
      <c r="J202" s="39">
        <f t="shared" si="20"/>
        <v>1.8820832020823221E-2</v>
      </c>
      <c r="K202" s="18">
        <v>2.4</v>
      </c>
      <c r="L202" s="32">
        <v>8.3699999999999992</v>
      </c>
      <c r="M202" s="32">
        <v>3.75</v>
      </c>
      <c r="N202" s="4">
        <f t="shared" si="21"/>
        <v>2.2319999999999998</v>
      </c>
      <c r="O202" s="20">
        <f t="shared" si="22"/>
        <v>4.6759776536312847</v>
      </c>
      <c r="P202">
        <f t="shared" si="23"/>
        <v>2212.3609050445102</v>
      </c>
    </row>
    <row r="203" spans="1:16" s="16" customFormat="1">
      <c r="A203" s="16" t="s">
        <v>208</v>
      </c>
      <c r="B203" s="16" t="s">
        <v>38</v>
      </c>
      <c r="C203" s="18">
        <v>1.79</v>
      </c>
      <c r="D203" s="16">
        <v>500</v>
      </c>
      <c r="E203" s="36">
        <v>6.8</v>
      </c>
      <c r="F203" s="16">
        <v>1082</v>
      </c>
      <c r="G203" s="32">
        <v>67.400000000000006</v>
      </c>
      <c r="H203" s="39">
        <f t="shared" si="18"/>
        <v>0.94317914571930528</v>
      </c>
      <c r="I203" s="35">
        <f t="shared" si="19"/>
        <v>3.151127794888065E-4</v>
      </c>
      <c r="J203" s="39">
        <f t="shared" si="20"/>
        <v>1.8820832020823221E-2</v>
      </c>
      <c r="K203" s="18">
        <v>2.4</v>
      </c>
      <c r="L203" s="32">
        <v>8.4499999999999993</v>
      </c>
      <c r="M203" s="32">
        <v>3.77</v>
      </c>
      <c r="N203" s="4">
        <f t="shared" si="21"/>
        <v>2.2413793103448274</v>
      </c>
      <c r="O203" s="20">
        <f t="shared" si="22"/>
        <v>4.7206703910614518</v>
      </c>
      <c r="P203">
        <f t="shared" si="23"/>
        <v>2236.02235074184</v>
      </c>
    </row>
    <row r="204" spans="1:16" s="16" customFormat="1">
      <c r="A204" s="16" t="s">
        <v>209</v>
      </c>
      <c r="B204" s="16" t="s">
        <v>38</v>
      </c>
      <c r="C204" s="18">
        <v>1.79</v>
      </c>
      <c r="D204" s="16">
        <v>750</v>
      </c>
      <c r="E204" s="36">
        <v>6.8</v>
      </c>
      <c r="F204" s="16">
        <v>1082</v>
      </c>
      <c r="G204" s="32">
        <v>67.400000000000006</v>
      </c>
      <c r="H204" s="39">
        <f t="shared" si="18"/>
        <v>1.4147687185789577</v>
      </c>
      <c r="I204" s="35">
        <f t="shared" si="19"/>
        <v>7.0900375384981443E-4</v>
      </c>
      <c r="J204" s="39">
        <f t="shared" si="20"/>
        <v>1.8820832020823217E-2</v>
      </c>
      <c r="K204" s="18">
        <v>2.4</v>
      </c>
      <c r="L204" s="32">
        <v>8.51</v>
      </c>
      <c r="M204" s="32">
        <v>3.78</v>
      </c>
      <c r="N204" s="4">
        <f t="shared" si="21"/>
        <v>2.2513227513227512</v>
      </c>
      <c r="O204" s="20">
        <f t="shared" si="22"/>
        <v>4.7541899441340778</v>
      </c>
      <c r="P204">
        <f t="shared" si="23"/>
        <v>2247.9002706231449</v>
      </c>
    </row>
    <row r="205" spans="1:16" s="16" customFormat="1">
      <c r="A205" s="16" t="s">
        <v>210</v>
      </c>
      <c r="B205" s="16" t="s">
        <v>38</v>
      </c>
      <c r="C205" s="18">
        <v>1.79</v>
      </c>
      <c r="D205" s="16">
        <v>1000</v>
      </c>
      <c r="E205" s="36">
        <v>6.8</v>
      </c>
      <c r="F205" s="16">
        <v>1082</v>
      </c>
      <c r="G205" s="32">
        <v>67.400000000000006</v>
      </c>
      <c r="H205" s="39">
        <f t="shared" si="18"/>
        <v>1.8863582914386106</v>
      </c>
      <c r="I205" s="35">
        <f t="shared" si="19"/>
        <v>1.260451117955226E-3</v>
      </c>
      <c r="J205" s="39">
        <f t="shared" si="20"/>
        <v>1.8820832020823221E-2</v>
      </c>
      <c r="K205" s="18">
        <v>2.4</v>
      </c>
      <c r="L205" s="32">
        <v>8.5299999999999994</v>
      </c>
      <c r="M205" s="32">
        <v>3.79</v>
      </c>
      <c r="N205" s="4">
        <f t="shared" si="21"/>
        <v>2.2506596306068598</v>
      </c>
      <c r="O205" s="20">
        <f t="shared" si="22"/>
        <v>4.7653631284916198</v>
      </c>
      <c r="P205">
        <f t="shared" si="23"/>
        <v>2259.8096551928784</v>
      </c>
    </row>
    <row r="206" spans="1:16" s="16" customFormat="1">
      <c r="A206" s="16" t="s">
        <v>211</v>
      </c>
      <c r="B206" s="16" t="s">
        <v>38</v>
      </c>
      <c r="C206" s="18">
        <v>2.38</v>
      </c>
      <c r="D206" s="16">
        <v>1000</v>
      </c>
      <c r="E206" s="36">
        <v>6.8</v>
      </c>
      <c r="F206" s="16">
        <v>1082</v>
      </c>
      <c r="G206" s="32">
        <v>67.400000000000006</v>
      </c>
      <c r="H206" s="39">
        <f t="shared" si="18"/>
        <v>1.4187316561660142</v>
      </c>
      <c r="I206" s="35">
        <f t="shared" si="19"/>
        <v>5.3623385496577851E-4</v>
      </c>
      <c r="J206" s="39">
        <f t="shared" si="20"/>
        <v>1.6322130864005809E-2</v>
      </c>
      <c r="K206" s="18">
        <v>2.8</v>
      </c>
      <c r="L206" s="32">
        <v>9.9</v>
      </c>
      <c r="M206" s="32">
        <v>4.03</v>
      </c>
      <c r="N206" s="4">
        <f t="shared" si="21"/>
        <v>2.4565756823821339</v>
      </c>
      <c r="O206" s="20">
        <f t="shared" si="22"/>
        <v>4.1596638655462188</v>
      </c>
      <c r="P206">
        <f t="shared" si="23"/>
        <v>2555.0742913946588</v>
      </c>
    </row>
    <row r="207" spans="1:16" s="16" customFormat="1">
      <c r="A207" s="16" t="s">
        <v>212</v>
      </c>
      <c r="B207" s="16" t="s">
        <v>38</v>
      </c>
      <c r="C207" s="18">
        <v>2.38</v>
      </c>
      <c r="D207" s="16">
        <v>750</v>
      </c>
      <c r="E207" s="36">
        <v>6.8</v>
      </c>
      <c r="F207" s="16">
        <v>1082</v>
      </c>
      <c r="G207" s="32">
        <v>67.400000000000006</v>
      </c>
      <c r="H207" s="39">
        <f t="shared" si="18"/>
        <v>1.0640487421245104</v>
      </c>
      <c r="I207" s="35">
        <f t="shared" si="19"/>
        <v>3.0163154341825035E-4</v>
      </c>
      <c r="J207" s="39">
        <f t="shared" si="20"/>
        <v>1.6322130864005812E-2</v>
      </c>
      <c r="K207" s="18">
        <v>2.8</v>
      </c>
      <c r="L207" s="32">
        <v>9.8800000000000008</v>
      </c>
      <c r="M207" s="32">
        <v>4</v>
      </c>
      <c r="N207" s="4">
        <f t="shared" si="21"/>
        <v>2.4700000000000002</v>
      </c>
      <c r="O207" s="20">
        <f t="shared" si="22"/>
        <v>4.151260504201681</v>
      </c>
      <c r="P207">
        <f t="shared" si="23"/>
        <v>2517.175074183976</v>
      </c>
    </row>
    <row r="208" spans="1:16" s="16" customFormat="1">
      <c r="A208" s="16" t="s">
        <v>213</v>
      </c>
      <c r="B208" s="16" t="s">
        <v>38</v>
      </c>
      <c r="C208" s="18">
        <v>2.38</v>
      </c>
      <c r="D208" s="16">
        <v>500</v>
      </c>
      <c r="E208" s="36">
        <v>6.8</v>
      </c>
      <c r="F208" s="16">
        <v>1082</v>
      </c>
      <c r="G208" s="32">
        <v>67.400000000000006</v>
      </c>
      <c r="H208" s="39">
        <f t="shared" si="18"/>
        <v>0.70936582808300708</v>
      </c>
      <c r="I208" s="35">
        <f t="shared" si="19"/>
        <v>1.3405846374144463E-4</v>
      </c>
      <c r="J208" s="39">
        <f t="shared" si="20"/>
        <v>1.6322130864005809E-2</v>
      </c>
      <c r="K208" s="18">
        <v>2.8</v>
      </c>
      <c r="L208" s="32">
        <v>9.94</v>
      </c>
      <c r="M208" s="32">
        <v>4</v>
      </c>
      <c r="N208" s="4">
        <f t="shared" si="21"/>
        <v>2.4849999999999999</v>
      </c>
      <c r="O208" s="20">
        <f t="shared" si="22"/>
        <v>4.1764705882352944</v>
      </c>
      <c r="P208">
        <f t="shared" si="23"/>
        <v>2517.175074183976</v>
      </c>
    </row>
    <row r="209" spans="1:16" s="16" customFormat="1">
      <c r="A209" s="16" t="s">
        <v>214</v>
      </c>
      <c r="B209" s="16" t="s">
        <v>38</v>
      </c>
      <c r="C209" s="18">
        <v>2.38</v>
      </c>
      <c r="D209" s="16">
        <v>250</v>
      </c>
      <c r="E209" s="36">
        <v>6.8</v>
      </c>
      <c r="F209" s="16">
        <v>1082</v>
      </c>
      <c r="G209" s="32">
        <v>67.400000000000006</v>
      </c>
      <c r="H209" s="39">
        <f t="shared" si="18"/>
        <v>0.35468291404150354</v>
      </c>
      <c r="I209" s="35">
        <f t="shared" si="19"/>
        <v>3.3514615935361157E-5</v>
      </c>
      <c r="J209" s="39">
        <f t="shared" si="20"/>
        <v>1.6322130864005809E-2</v>
      </c>
      <c r="K209" s="18">
        <v>2.8</v>
      </c>
      <c r="L209" s="32">
        <v>9.81</v>
      </c>
      <c r="M209" s="32">
        <v>3.97</v>
      </c>
      <c r="N209" s="4">
        <f t="shared" si="21"/>
        <v>2.4710327455919394</v>
      </c>
      <c r="O209" s="20">
        <f t="shared" si="22"/>
        <v>4.1218487394957988</v>
      </c>
      <c r="P209">
        <f t="shared" si="23"/>
        <v>2479.5590391691394</v>
      </c>
    </row>
    <row r="210" spans="1:16" s="16" customFormat="1">
      <c r="A210" s="16" t="s">
        <v>215</v>
      </c>
      <c r="B210" s="16" t="s">
        <v>38</v>
      </c>
      <c r="C210" s="18">
        <v>2.38</v>
      </c>
      <c r="D210" s="16">
        <v>100</v>
      </c>
      <c r="E210" s="36">
        <v>6.8</v>
      </c>
      <c r="F210" s="16">
        <v>1082</v>
      </c>
      <c r="G210" s="32">
        <v>67.400000000000006</v>
      </c>
      <c r="H210" s="39">
        <f t="shared" si="18"/>
        <v>0.1418731656166014</v>
      </c>
      <c r="I210" s="35">
        <f t="shared" si="19"/>
        <v>5.3623385496577849E-6</v>
      </c>
      <c r="J210" s="39">
        <f t="shared" si="20"/>
        <v>1.6322130864005809E-2</v>
      </c>
      <c r="K210" s="18">
        <v>2.8</v>
      </c>
      <c r="L210" s="32">
        <v>9.5</v>
      </c>
      <c r="M210" s="32">
        <v>3.97</v>
      </c>
      <c r="N210" s="4">
        <f t="shared" si="21"/>
        <v>2.3929471032745591</v>
      </c>
      <c r="O210" s="20">
        <f t="shared" si="22"/>
        <v>3.9915966386554622</v>
      </c>
      <c r="P210">
        <f t="shared" si="23"/>
        <v>2479.5590391691394</v>
      </c>
    </row>
    <row r="211" spans="1:16">
      <c r="A211" t="s">
        <v>216</v>
      </c>
      <c r="B211" t="s">
        <v>505</v>
      </c>
      <c r="C211" s="14">
        <v>1.79</v>
      </c>
      <c r="D211">
        <v>100</v>
      </c>
      <c r="E211" s="26">
        <v>32.9</v>
      </c>
      <c r="F211">
        <v>1156</v>
      </c>
      <c r="G211" s="27">
        <v>65.8</v>
      </c>
      <c r="H211" s="24">
        <f t="shared" si="18"/>
        <v>4.1655060867077827E-2</v>
      </c>
      <c r="I211" s="25">
        <f t="shared" si="19"/>
        <v>1.37940115098139E-5</v>
      </c>
      <c r="J211" s="24">
        <f t="shared" si="20"/>
        <v>8.9161531294036298E-2</v>
      </c>
      <c r="K211" s="14">
        <v>2.4</v>
      </c>
      <c r="L211" s="27">
        <v>8.5</v>
      </c>
      <c r="M211" s="27">
        <v>3.62</v>
      </c>
      <c r="N211" s="4">
        <f t="shared" si="21"/>
        <v>2.3480662983425415</v>
      </c>
      <c r="O211" s="20">
        <f t="shared" si="22"/>
        <v>4.7486033519553068</v>
      </c>
      <c r="P211">
        <f t="shared" si="23"/>
        <v>2256.1873361702133</v>
      </c>
    </row>
    <row r="212" spans="1:16">
      <c r="A212" t="s">
        <v>217</v>
      </c>
      <c r="B212" t="s">
        <v>505</v>
      </c>
      <c r="C212" s="14">
        <v>1.79</v>
      </c>
      <c r="D212">
        <v>250</v>
      </c>
      <c r="E212" s="26">
        <v>32.9</v>
      </c>
      <c r="F212">
        <v>1156</v>
      </c>
      <c r="G212" s="27">
        <v>65.8</v>
      </c>
      <c r="H212" s="24">
        <f t="shared" ref="H212:H275" si="24">(4/60*F212*D212*10^(-9))/(PI()*C212*E212*10^(-6))</f>
        <v>0.10413765216769456</v>
      </c>
      <c r="I212" s="25">
        <f t="shared" ref="I212:I275" si="25">(16 * F212 * (D212 * 10^-9 / 60)^2) / (PI()^2 * (C212 * 10^-3)^3 * (G212 * 10^-3))</f>
        <v>8.6212571936336907E-5</v>
      </c>
      <c r="J212" s="24">
        <f t="shared" si="20"/>
        <v>8.9161531294036325E-2</v>
      </c>
      <c r="K212" s="14">
        <v>2.4</v>
      </c>
      <c r="L212" s="27">
        <v>8.4499999999999993</v>
      </c>
      <c r="M212" s="27">
        <v>3.65</v>
      </c>
      <c r="N212" s="4">
        <f t="shared" si="21"/>
        <v>2.3150684931506849</v>
      </c>
      <c r="O212" s="20">
        <f t="shared" si="22"/>
        <v>4.7206703910614518</v>
      </c>
      <c r="P212">
        <f t="shared" si="23"/>
        <v>2293.7376595744681</v>
      </c>
    </row>
    <row r="213" spans="1:16">
      <c r="A213" t="s">
        <v>218</v>
      </c>
      <c r="B213" t="s">
        <v>504</v>
      </c>
      <c r="C213" s="14">
        <v>1.79</v>
      </c>
      <c r="D213">
        <v>500</v>
      </c>
      <c r="E213" s="26">
        <v>32.9</v>
      </c>
      <c r="F213">
        <v>1156</v>
      </c>
      <c r="G213" s="27">
        <v>65.8</v>
      </c>
      <c r="H213" s="24">
        <f t="shared" si="24"/>
        <v>0.20827530433538913</v>
      </c>
      <c r="I213" s="25">
        <f t="shared" si="25"/>
        <v>3.4485028774534763E-4</v>
      </c>
      <c r="J213" s="24">
        <f t="shared" si="20"/>
        <v>8.9161531294036325E-2</v>
      </c>
      <c r="K213" s="14">
        <v>2.4</v>
      </c>
      <c r="L213" s="27">
        <v>8.5500000000000007</v>
      </c>
      <c r="M213" s="27">
        <v>3.66</v>
      </c>
      <c r="N213" s="4">
        <f t="shared" si="21"/>
        <v>2.3360655737704921</v>
      </c>
      <c r="O213" s="20">
        <f t="shared" si="22"/>
        <v>4.7765363128491627</v>
      </c>
      <c r="P213">
        <f t="shared" si="23"/>
        <v>2306.3233021276596</v>
      </c>
    </row>
    <row r="214" spans="1:16">
      <c r="A214" t="s">
        <v>219</v>
      </c>
      <c r="B214" t="s">
        <v>504</v>
      </c>
      <c r="C214" s="14">
        <v>1.79</v>
      </c>
      <c r="D214">
        <v>750</v>
      </c>
      <c r="E214" s="26">
        <v>32.9</v>
      </c>
      <c r="F214">
        <v>1156</v>
      </c>
      <c r="G214" s="27">
        <v>65.8</v>
      </c>
      <c r="H214" s="24">
        <f t="shared" si="24"/>
        <v>0.31241295650308371</v>
      </c>
      <c r="I214" s="25">
        <f t="shared" si="25"/>
        <v>7.7591314742703188E-4</v>
      </c>
      <c r="J214" s="24">
        <f t="shared" si="20"/>
        <v>8.9161531294036298E-2</v>
      </c>
      <c r="K214" s="14">
        <v>2.4</v>
      </c>
      <c r="L214" s="27">
        <v>8.52</v>
      </c>
      <c r="M214" s="27">
        <v>3.67</v>
      </c>
      <c r="N214" s="4">
        <f t="shared" si="21"/>
        <v>2.3215258855585832</v>
      </c>
      <c r="O214" s="20">
        <f t="shared" si="22"/>
        <v>4.7597765363128488</v>
      </c>
      <c r="P214">
        <f t="shared" si="23"/>
        <v>2318.9433787234038</v>
      </c>
    </row>
    <row r="215" spans="1:16">
      <c r="A215" t="s">
        <v>220</v>
      </c>
      <c r="B215" t="s">
        <v>504</v>
      </c>
      <c r="C215" s="14">
        <v>1.79</v>
      </c>
      <c r="D215">
        <v>1000</v>
      </c>
      <c r="E215" s="26">
        <v>32.9</v>
      </c>
      <c r="F215">
        <v>1156</v>
      </c>
      <c r="G215" s="27">
        <v>65.8</v>
      </c>
      <c r="H215" s="24">
        <f t="shared" si="24"/>
        <v>0.41655060867077826</v>
      </c>
      <c r="I215" s="25">
        <f t="shared" si="25"/>
        <v>1.3794011509813905E-3</v>
      </c>
      <c r="J215" s="24">
        <f t="shared" si="20"/>
        <v>8.9161531294036325E-2</v>
      </c>
      <c r="K215" s="14">
        <v>2.4</v>
      </c>
      <c r="L215" s="27">
        <v>8.98</v>
      </c>
      <c r="M215" s="27">
        <v>3.68</v>
      </c>
      <c r="N215" s="4">
        <f t="shared" si="21"/>
        <v>2.4402173913043477</v>
      </c>
      <c r="O215" s="20">
        <f t="shared" si="22"/>
        <v>5.016759776536313</v>
      </c>
      <c r="P215">
        <f t="shared" si="23"/>
        <v>2331.5978893617025</v>
      </c>
    </row>
    <row r="216" spans="1:16">
      <c r="A216" t="s">
        <v>221</v>
      </c>
      <c r="B216" t="s">
        <v>504</v>
      </c>
      <c r="C216" s="14">
        <v>2.38</v>
      </c>
      <c r="D216">
        <v>1000</v>
      </c>
      <c r="E216" s="26">
        <v>32.9</v>
      </c>
      <c r="F216">
        <v>1156</v>
      </c>
      <c r="G216" s="27">
        <v>65.8</v>
      </c>
      <c r="H216" s="24">
        <f t="shared" si="24"/>
        <v>0.31328806282382066</v>
      </c>
      <c r="I216" s="25">
        <f t="shared" si="25"/>
        <v>5.8683878033678576E-4</v>
      </c>
      <c r="J216" s="24">
        <f t="shared" si="20"/>
        <v>7.7324221384382524E-2</v>
      </c>
      <c r="K216" s="14">
        <v>2.8</v>
      </c>
      <c r="L216" s="27">
        <v>10.050000000000001</v>
      </c>
      <c r="M216" s="27">
        <v>3.9</v>
      </c>
      <c r="N216" s="4">
        <f t="shared" si="21"/>
        <v>2.5769230769230771</v>
      </c>
      <c r="O216" s="20">
        <f t="shared" si="22"/>
        <v>4.2226890756302522</v>
      </c>
      <c r="P216">
        <f t="shared" si="23"/>
        <v>2618.7089361702128</v>
      </c>
    </row>
    <row r="217" spans="1:16">
      <c r="A217" t="s">
        <v>222</v>
      </c>
      <c r="B217" t="s">
        <v>504</v>
      </c>
      <c r="C217" s="14">
        <v>2.38</v>
      </c>
      <c r="D217">
        <v>750</v>
      </c>
      <c r="E217" s="26">
        <v>32.9</v>
      </c>
      <c r="F217">
        <v>1156</v>
      </c>
      <c r="G217" s="27">
        <v>65.8</v>
      </c>
      <c r="H217" s="24">
        <f t="shared" si="24"/>
        <v>0.23496604711786551</v>
      </c>
      <c r="I217" s="25">
        <f t="shared" si="25"/>
        <v>3.3009681393944188E-4</v>
      </c>
      <c r="J217" s="24">
        <f t="shared" si="20"/>
        <v>7.7324221384382497E-2</v>
      </c>
      <c r="K217" s="14">
        <v>2.8</v>
      </c>
      <c r="L217" s="27">
        <v>10.24</v>
      </c>
      <c r="M217" s="27">
        <v>3.93</v>
      </c>
      <c r="N217" s="4">
        <f t="shared" si="21"/>
        <v>2.6055979643765901</v>
      </c>
      <c r="O217" s="20">
        <f t="shared" si="22"/>
        <v>4.302521008403362</v>
      </c>
      <c r="P217">
        <f t="shared" si="23"/>
        <v>2659.1517191489365</v>
      </c>
    </row>
    <row r="218" spans="1:16">
      <c r="A218" t="s">
        <v>223</v>
      </c>
      <c r="B218" t="s">
        <v>504</v>
      </c>
      <c r="C218" s="14">
        <v>2.38</v>
      </c>
      <c r="D218">
        <v>500</v>
      </c>
      <c r="E218" s="26">
        <v>32.9</v>
      </c>
      <c r="F218">
        <v>1156</v>
      </c>
      <c r="G218" s="27">
        <v>65.8</v>
      </c>
      <c r="H218" s="24">
        <f t="shared" si="24"/>
        <v>0.15664403141191033</v>
      </c>
      <c r="I218" s="25">
        <f t="shared" si="25"/>
        <v>1.4670969508419644E-4</v>
      </c>
      <c r="J218" s="24">
        <f t="shared" si="20"/>
        <v>7.7324221384382524E-2</v>
      </c>
      <c r="K218" s="14">
        <v>2.8</v>
      </c>
      <c r="L218" s="27">
        <v>9.8000000000000007</v>
      </c>
      <c r="M218" s="27">
        <v>3.87</v>
      </c>
      <c r="N218" s="4">
        <f t="shared" si="21"/>
        <v>2.5322997416020674</v>
      </c>
      <c r="O218" s="20">
        <f t="shared" si="22"/>
        <v>4.1176470588235299</v>
      </c>
      <c r="P218">
        <f t="shared" si="23"/>
        <v>2578.5760595744687</v>
      </c>
    </row>
    <row r="219" spans="1:16">
      <c r="A219" t="s">
        <v>224</v>
      </c>
      <c r="B219" t="s">
        <v>504</v>
      </c>
      <c r="C219" s="14">
        <v>2.38</v>
      </c>
      <c r="D219">
        <v>250</v>
      </c>
      <c r="E219" s="26">
        <v>32.9</v>
      </c>
      <c r="F219">
        <v>1156</v>
      </c>
      <c r="G219" s="27">
        <v>65.8</v>
      </c>
      <c r="H219" s="24">
        <f t="shared" si="24"/>
        <v>7.8322015705955164E-2</v>
      </c>
      <c r="I219" s="25">
        <f t="shared" si="25"/>
        <v>3.667742377104911E-5</v>
      </c>
      <c r="J219" s="24">
        <f t="shared" si="20"/>
        <v>7.7324221384382524E-2</v>
      </c>
      <c r="K219" s="14">
        <v>2.8</v>
      </c>
      <c r="L219" s="27">
        <v>9.8800000000000008</v>
      </c>
      <c r="M219" s="27">
        <v>3.87</v>
      </c>
      <c r="N219" s="4">
        <f t="shared" si="21"/>
        <v>2.5529715762273901</v>
      </c>
      <c r="O219" s="20">
        <f t="shared" si="22"/>
        <v>4.151260504201681</v>
      </c>
      <c r="P219">
        <f t="shared" si="23"/>
        <v>2578.5760595744687</v>
      </c>
    </row>
    <row r="220" spans="1:16">
      <c r="A220" t="s">
        <v>225</v>
      </c>
      <c r="B220" t="s">
        <v>504</v>
      </c>
      <c r="C220" s="14">
        <v>2.38</v>
      </c>
      <c r="D220">
        <v>100</v>
      </c>
      <c r="E220" s="26">
        <v>32.9</v>
      </c>
      <c r="F220">
        <v>1156</v>
      </c>
      <c r="G220" s="27">
        <v>65.8</v>
      </c>
      <c r="H220" s="24">
        <f t="shared" si="24"/>
        <v>3.132880628238207E-2</v>
      </c>
      <c r="I220" s="25">
        <f t="shared" si="25"/>
        <v>5.8683878033678566E-6</v>
      </c>
      <c r="J220" s="24">
        <f t="shared" si="20"/>
        <v>7.732422138438251E-2</v>
      </c>
      <c r="K220" s="14">
        <v>2.8</v>
      </c>
      <c r="L220" s="27">
        <v>9.6300000000000008</v>
      </c>
      <c r="M220" s="27">
        <v>3.85</v>
      </c>
      <c r="N220" s="4">
        <f t="shared" si="21"/>
        <v>2.5012987012987016</v>
      </c>
      <c r="O220" s="20">
        <f t="shared" si="22"/>
        <v>4.0462184873949587</v>
      </c>
      <c r="P220">
        <f t="shared" si="23"/>
        <v>2551.992978723405</v>
      </c>
    </row>
    <row r="221" spans="1:16">
      <c r="A221" t="s">
        <v>226</v>
      </c>
      <c r="B221" t="s">
        <v>507</v>
      </c>
      <c r="C221" s="14">
        <v>1.79</v>
      </c>
      <c r="D221">
        <v>1000</v>
      </c>
      <c r="E221" s="26">
        <v>225.1</v>
      </c>
      <c r="F221">
        <v>1206</v>
      </c>
      <c r="G221" s="27">
        <v>63.8</v>
      </c>
      <c r="H221" s="24">
        <f t="shared" si="24"/>
        <v>6.3515197092234049E-2</v>
      </c>
      <c r="I221" s="25">
        <f t="shared" si="25"/>
        <v>1.4841755493472525E-3</v>
      </c>
      <c r="J221" s="24">
        <f t="shared" si="20"/>
        <v>0.60654773631875836</v>
      </c>
      <c r="K221" s="14">
        <v>2.4</v>
      </c>
      <c r="L221" s="27">
        <v>13.71</v>
      </c>
      <c r="M221" s="27">
        <v>3.66</v>
      </c>
      <c r="N221" s="4">
        <f t="shared" si="21"/>
        <v>3.7459016393442623</v>
      </c>
      <c r="O221" s="20">
        <f t="shared" si="22"/>
        <v>7.6592178770949726</v>
      </c>
      <c r="P221">
        <f t="shared" si="23"/>
        <v>2481.5034056426339</v>
      </c>
    </row>
    <row r="222" spans="1:16">
      <c r="A222" t="s">
        <v>227</v>
      </c>
      <c r="B222" t="s">
        <v>507</v>
      </c>
      <c r="C222" s="14">
        <v>1.79</v>
      </c>
      <c r="D222">
        <v>750</v>
      </c>
      <c r="E222" s="26">
        <v>225.1</v>
      </c>
      <c r="F222">
        <v>1206</v>
      </c>
      <c r="G222" s="27">
        <v>63.8</v>
      </c>
      <c r="H222" s="24">
        <f t="shared" si="24"/>
        <v>4.7636397819175537E-2</v>
      </c>
      <c r="I222" s="25">
        <f t="shared" si="25"/>
        <v>8.3484874650782931E-4</v>
      </c>
      <c r="J222" s="24">
        <f t="shared" si="20"/>
        <v>0.60654773631875825</v>
      </c>
      <c r="K222" s="14">
        <v>2.4</v>
      </c>
      <c r="L222" s="27">
        <v>16.059999999999999</v>
      </c>
      <c r="M222" s="27">
        <v>3.61</v>
      </c>
      <c r="N222" s="4">
        <f t="shared" si="21"/>
        <v>4.4487534626038778</v>
      </c>
      <c r="O222" s="20">
        <f t="shared" si="22"/>
        <v>8.972067039106145</v>
      </c>
      <c r="P222">
        <f t="shared" si="23"/>
        <v>2414.1658852664582</v>
      </c>
    </row>
    <row r="223" spans="1:16">
      <c r="A223" t="s">
        <v>228</v>
      </c>
      <c r="B223" t="s">
        <v>506</v>
      </c>
      <c r="C223" s="14">
        <v>1.79</v>
      </c>
      <c r="D223">
        <v>500</v>
      </c>
      <c r="E223" s="26">
        <v>225.1</v>
      </c>
      <c r="F223">
        <v>1206</v>
      </c>
      <c r="G223" s="27">
        <v>63.8</v>
      </c>
      <c r="H223" s="24">
        <f t="shared" si="24"/>
        <v>3.1757598546117025E-2</v>
      </c>
      <c r="I223" s="25">
        <f t="shared" si="25"/>
        <v>3.7104388733681312E-4</v>
      </c>
      <c r="J223" s="24">
        <f t="shared" si="20"/>
        <v>0.60654773631875836</v>
      </c>
      <c r="K223" s="14">
        <v>2.4</v>
      </c>
      <c r="L223" s="27">
        <v>16.27</v>
      </c>
      <c r="M223" s="27">
        <v>3.68</v>
      </c>
      <c r="N223" s="4">
        <f t="shared" si="21"/>
        <v>4.4211956521739131</v>
      </c>
      <c r="O223" s="20">
        <f t="shared" si="22"/>
        <v>9.0893854748603342</v>
      </c>
      <c r="P223">
        <f t="shared" si="23"/>
        <v>2508.6977605015682</v>
      </c>
    </row>
    <row r="224" spans="1:16">
      <c r="A224" t="s">
        <v>229</v>
      </c>
      <c r="B224" t="s">
        <v>506</v>
      </c>
      <c r="C224" s="14">
        <v>1.79</v>
      </c>
      <c r="D224">
        <v>250</v>
      </c>
      <c r="E224" s="26">
        <v>225.1</v>
      </c>
      <c r="F224">
        <v>1206</v>
      </c>
      <c r="G224" s="27">
        <v>63.8</v>
      </c>
      <c r="H224" s="24">
        <f t="shared" si="24"/>
        <v>1.5878799273058512E-2</v>
      </c>
      <c r="I224" s="25">
        <f t="shared" si="25"/>
        <v>9.276097183420328E-5</v>
      </c>
      <c r="J224" s="24">
        <f t="shared" si="20"/>
        <v>0.60654773631875836</v>
      </c>
      <c r="K224" s="14">
        <v>2.4</v>
      </c>
      <c r="L224" s="27">
        <v>15.73</v>
      </c>
      <c r="M224" s="27">
        <v>3.64</v>
      </c>
      <c r="N224" s="4">
        <f t="shared" si="21"/>
        <v>4.3214285714285712</v>
      </c>
      <c r="O224" s="20">
        <f t="shared" si="22"/>
        <v>8.7877094972067038</v>
      </c>
      <c r="P224">
        <f t="shared" si="23"/>
        <v>2454.4572489028219</v>
      </c>
    </row>
    <row r="225" spans="1:16">
      <c r="A225" t="s">
        <v>230</v>
      </c>
      <c r="B225" t="s">
        <v>506</v>
      </c>
      <c r="C225" s="14">
        <v>1.79</v>
      </c>
      <c r="D225">
        <v>100</v>
      </c>
      <c r="E225" s="26">
        <v>225.1</v>
      </c>
      <c r="F225">
        <v>1206</v>
      </c>
      <c r="G225" s="27">
        <v>63.8</v>
      </c>
      <c r="H225" s="24">
        <f t="shared" si="24"/>
        <v>6.3515197092234047E-3</v>
      </c>
      <c r="I225" s="25">
        <f t="shared" si="25"/>
        <v>1.4841755493472523E-5</v>
      </c>
      <c r="J225" s="24">
        <f t="shared" si="20"/>
        <v>0.60654773631875836</v>
      </c>
      <c r="K225" s="14">
        <v>2.4</v>
      </c>
      <c r="L225" s="27">
        <v>13.95</v>
      </c>
      <c r="M225" s="27">
        <v>3.65</v>
      </c>
      <c r="N225" s="4">
        <f t="shared" si="21"/>
        <v>3.8219178082191778</v>
      </c>
      <c r="O225" s="20">
        <f t="shared" si="22"/>
        <v>7.7932960893854739</v>
      </c>
      <c r="P225">
        <f t="shared" si="23"/>
        <v>2467.9618025078371</v>
      </c>
    </row>
    <row r="226" spans="1:16">
      <c r="A226" t="s">
        <v>231</v>
      </c>
      <c r="B226" t="s">
        <v>506</v>
      </c>
      <c r="C226" s="14">
        <v>2.38</v>
      </c>
      <c r="D226">
        <v>1000</v>
      </c>
      <c r="E226" s="26">
        <v>225.1</v>
      </c>
      <c r="F226">
        <v>1206</v>
      </c>
      <c r="G226" s="27">
        <v>63.8</v>
      </c>
      <c r="H226" s="24">
        <f t="shared" si="24"/>
        <v>4.7769833107184433E-2</v>
      </c>
      <c r="I226" s="25">
        <f t="shared" si="25"/>
        <v>6.3141296392638059E-4</v>
      </c>
      <c r="J226" s="24">
        <f t="shared" si="20"/>
        <v>0.52602092811347645</v>
      </c>
      <c r="K226" s="14">
        <v>2.8</v>
      </c>
      <c r="L226" s="27">
        <v>17.149999999999999</v>
      </c>
      <c r="M226" s="27">
        <v>3.91</v>
      </c>
      <c r="N226" s="4">
        <f t="shared" si="21"/>
        <v>4.3861892583120197</v>
      </c>
      <c r="O226" s="20">
        <f t="shared" si="22"/>
        <v>7.2058823529411766</v>
      </c>
      <c r="P226">
        <f t="shared" si="23"/>
        <v>2832.0845811912232</v>
      </c>
    </row>
    <row r="227" spans="1:16">
      <c r="A227" t="s">
        <v>232</v>
      </c>
      <c r="B227" t="s">
        <v>506</v>
      </c>
      <c r="C227" s="14">
        <v>2.38</v>
      </c>
      <c r="D227">
        <v>750</v>
      </c>
      <c r="E227" s="26">
        <v>225.1</v>
      </c>
      <c r="F227">
        <v>1206</v>
      </c>
      <c r="G227" s="27">
        <v>63.8</v>
      </c>
      <c r="H227" s="24">
        <f t="shared" si="24"/>
        <v>3.582737483038833E-2</v>
      </c>
      <c r="I227" s="25">
        <f t="shared" si="25"/>
        <v>3.55169792208589E-4</v>
      </c>
      <c r="J227" s="24">
        <f t="shared" si="20"/>
        <v>0.52602092811347634</v>
      </c>
      <c r="K227" s="14">
        <v>2.8</v>
      </c>
      <c r="L227" s="27">
        <v>21.11</v>
      </c>
      <c r="M227" s="27">
        <v>3.85</v>
      </c>
      <c r="N227" s="4">
        <f t="shared" si="21"/>
        <v>5.4831168831168826</v>
      </c>
      <c r="O227" s="20">
        <f t="shared" si="22"/>
        <v>8.8697478991596643</v>
      </c>
      <c r="P227">
        <f t="shared" si="23"/>
        <v>2745.8332758620695</v>
      </c>
    </row>
    <row r="228" spans="1:16">
      <c r="A228" t="s">
        <v>233</v>
      </c>
      <c r="B228" t="s">
        <v>506</v>
      </c>
      <c r="C228" s="14">
        <v>2.38</v>
      </c>
      <c r="D228">
        <v>500</v>
      </c>
      <c r="E228" s="26">
        <v>225.1</v>
      </c>
      <c r="F228">
        <v>1206</v>
      </c>
      <c r="G228" s="27">
        <v>63.8</v>
      </c>
      <c r="H228" s="24">
        <f t="shared" si="24"/>
        <v>2.3884916553592216E-2</v>
      </c>
      <c r="I228" s="25">
        <f t="shared" si="25"/>
        <v>1.5785324098159515E-4</v>
      </c>
      <c r="J228" s="24">
        <f t="shared" si="20"/>
        <v>0.52602092811347645</v>
      </c>
      <c r="K228" s="14">
        <v>2.8</v>
      </c>
      <c r="L228" s="27">
        <v>20.52</v>
      </c>
      <c r="M228" s="27">
        <v>3.81</v>
      </c>
      <c r="N228" s="4">
        <f t="shared" si="21"/>
        <v>5.3858267716535435</v>
      </c>
      <c r="O228" s="20">
        <f t="shared" si="22"/>
        <v>8.6218487394957979</v>
      </c>
      <c r="P228">
        <f t="shared" si="23"/>
        <v>2689.0733962382446</v>
      </c>
    </row>
    <row r="229" spans="1:16">
      <c r="A229" t="s">
        <v>234</v>
      </c>
      <c r="B229" t="s">
        <v>506</v>
      </c>
      <c r="C229" s="14">
        <v>2.38</v>
      </c>
      <c r="D229">
        <v>250</v>
      </c>
      <c r="E229" s="26">
        <v>225.1</v>
      </c>
      <c r="F229">
        <v>1206</v>
      </c>
      <c r="G229" s="27">
        <v>63.8</v>
      </c>
      <c r="H229" s="24">
        <f t="shared" si="24"/>
        <v>1.1942458276796108E-2</v>
      </c>
      <c r="I229" s="25">
        <f t="shared" si="25"/>
        <v>3.9463310245398787E-5</v>
      </c>
      <c r="J229" s="24">
        <f t="shared" si="20"/>
        <v>0.52602092811347645</v>
      </c>
      <c r="K229" s="14">
        <v>2.8</v>
      </c>
      <c r="L229" s="27">
        <v>19.78</v>
      </c>
      <c r="M229" s="27">
        <v>3.81</v>
      </c>
      <c r="N229" s="4">
        <f t="shared" si="21"/>
        <v>5.1916010498687664</v>
      </c>
      <c r="O229" s="20">
        <f t="shared" si="22"/>
        <v>8.3109243697478998</v>
      </c>
      <c r="P229">
        <f t="shared" si="23"/>
        <v>2689.0733962382446</v>
      </c>
    </row>
    <row r="230" spans="1:16">
      <c r="A230" t="s">
        <v>235</v>
      </c>
      <c r="B230" t="s">
        <v>506</v>
      </c>
      <c r="C230" s="14">
        <v>2.38</v>
      </c>
      <c r="D230">
        <v>100</v>
      </c>
      <c r="E230" s="26">
        <v>225.1</v>
      </c>
      <c r="F230">
        <v>1206</v>
      </c>
      <c r="G230" s="27">
        <v>63.8</v>
      </c>
      <c r="H230" s="24">
        <f t="shared" si="24"/>
        <v>4.7769833107184443E-3</v>
      </c>
      <c r="I230" s="25">
        <f t="shared" si="25"/>
        <v>6.3141296392638049E-6</v>
      </c>
      <c r="J230" s="24">
        <f t="shared" ref="J230:J293" si="26">SQRT(I230)/H230</f>
        <v>0.52602092811347623</v>
      </c>
      <c r="K230" s="14">
        <v>2.8</v>
      </c>
      <c r="L230" s="27">
        <v>16.91</v>
      </c>
      <c r="M230" s="27">
        <v>3.82</v>
      </c>
      <c r="N230" s="4">
        <f t="shared" ref="N230:N293" si="27">L230/M230</f>
        <v>4.4267015706806285</v>
      </c>
      <c r="O230" s="20">
        <f t="shared" ref="O230:O293" si="28">L230/C230</f>
        <v>7.1050420168067232</v>
      </c>
      <c r="P230">
        <f t="shared" si="23"/>
        <v>2703.2077918495297</v>
      </c>
    </row>
    <row r="231" spans="1:16">
      <c r="A231" t="s">
        <v>236</v>
      </c>
      <c r="B231" t="s">
        <v>509</v>
      </c>
      <c r="C231" s="14">
        <v>1.79</v>
      </c>
      <c r="D231">
        <v>1000</v>
      </c>
      <c r="E231" s="26">
        <v>505.3</v>
      </c>
      <c r="F231">
        <v>1230</v>
      </c>
      <c r="G231" s="27">
        <v>63.3</v>
      </c>
      <c r="H231" s="24">
        <f t="shared" si="24"/>
        <v>2.8857695762427579E-2</v>
      </c>
      <c r="I231" s="25">
        <f t="shared" si="25"/>
        <v>1.525668027155904E-3</v>
      </c>
      <c r="J231" s="24">
        <f t="shared" si="26"/>
        <v>1.3535315146396494</v>
      </c>
      <c r="K231" s="14">
        <v>2.4</v>
      </c>
      <c r="L231" s="27">
        <v>25.46</v>
      </c>
      <c r="M231" s="27">
        <v>3.52</v>
      </c>
      <c r="N231" s="4">
        <f t="shared" si="27"/>
        <v>7.2329545454545459</v>
      </c>
      <c r="O231" s="20">
        <f t="shared" si="28"/>
        <v>14.223463687150838</v>
      </c>
      <c r="P231">
        <f t="shared" si="23"/>
        <v>2359.4610047393371</v>
      </c>
    </row>
    <row r="232" spans="1:16">
      <c r="A232" t="s">
        <v>237</v>
      </c>
      <c r="B232" t="s">
        <v>509</v>
      </c>
      <c r="C232" s="14">
        <v>1.79</v>
      </c>
      <c r="D232">
        <v>750</v>
      </c>
      <c r="E232" s="26">
        <v>505.3</v>
      </c>
      <c r="F232">
        <v>1230</v>
      </c>
      <c r="G232" s="27">
        <v>63.3</v>
      </c>
      <c r="H232" s="24">
        <f t="shared" si="24"/>
        <v>2.1643271821820687E-2</v>
      </c>
      <c r="I232" s="25">
        <f t="shared" si="25"/>
        <v>8.5818826527519587E-4</v>
      </c>
      <c r="J232" s="24">
        <f t="shared" si="26"/>
        <v>1.3535315146396492</v>
      </c>
      <c r="K232" s="14">
        <v>2.4</v>
      </c>
      <c r="L232" s="27">
        <v>28.46</v>
      </c>
      <c r="M232" s="27">
        <v>3.83</v>
      </c>
      <c r="N232" s="4">
        <f t="shared" si="27"/>
        <v>7.4308093994778073</v>
      </c>
      <c r="O232" s="20">
        <f t="shared" si="28"/>
        <v>15.899441340782124</v>
      </c>
      <c r="P232">
        <f t="shared" si="23"/>
        <v>2793.3478767772517</v>
      </c>
    </row>
    <row r="233" spans="1:16">
      <c r="A233" t="s">
        <v>238</v>
      </c>
      <c r="B233" t="s">
        <v>508</v>
      </c>
      <c r="C233" s="14">
        <v>1.79</v>
      </c>
      <c r="D233">
        <v>500</v>
      </c>
      <c r="E233" s="26">
        <v>505.3</v>
      </c>
      <c r="F233">
        <v>1230</v>
      </c>
      <c r="G233" s="27">
        <v>63.3</v>
      </c>
      <c r="H233" s="24">
        <f t="shared" si="24"/>
        <v>1.4428847881213789E-2</v>
      </c>
      <c r="I233" s="25">
        <f t="shared" si="25"/>
        <v>3.8141700678897601E-4</v>
      </c>
      <c r="J233" s="24">
        <f t="shared" si="26"/>
        <v>1.3535315146396494</v>
      </c>
      <c r="K233" s="14">
        <v>2.4</v>
      </c>
      <c r="L233" s="27">
        <v>23.16</v>
      </c>
      <c r="M233" s="27">
        <v>3.52</v>
      </c>
      <c r="N233" s="4">
        <f t="shared" si="27"/>
        <v>6.5795454545454541</v>
      </c>
      <c r="O233" s="20">
        <f t="shared" si="28"/>
        <v>12.938547486033519</v>
      </c>
      <c r="P233">
        <f t="shared" si="23"/>
        <v>2359.4610047393371</v>
      </c>
    </row>
    <row r="234" spans="1:16">
      <c r="A234" t="s">
        <v>239</v>
      </c>
      <c r="B234" t="s">
        <v>508</v>
      </c>
      <c r="C234" s="14">
        <v>1.79</v>
      </c>
      <c r="D234">
        <v>250</v>
      </c>
      <c r="E234" s="26">
        <v>505.3</v>
      </c>
      <c r="F234">
        <v>1230</v>
      </c>
      <c r="G234" s="27">
        <v>63.3</v>
      </c>
      <c r="H234" s="24">
        <f t="shared" si="24"/>
        <v>7.2144239406068946E-3</v>
      </c>
      <c r="I234" s="25">
        <f t="shared" si="25"/>
        <v>9.5354251697244002E-5</v>
      </c>
      <c r="J234" s="24">
        <f t="shared" si="26"/>
        <v>1.3535315146396494</v>
      </c>
      <c r="K234" s="14">
        <v>2.4</v>
      </c>
      <c r="L234" s="27">
        <v>22.59</v>
      </c>
      <c r="M234" s="27">
        <v>3.52</v>
      </c>
      <c r="N234" s="4">
        <f t="shared" si="27"/>
        <v>6.4176136363636367</v>
      </c>
      <c r="O234" s="20">
        <f t="shared" si="28"/>
        <v>12.620111731843576</v>
      </c>
      <c r="P234">
        <f t="shared" si="23"/>
        <v>2359.4610047393371</v>
      </c>
    </row>
    <row r="235" spans="1:16">
      <c r="A235" t="s">
        <v>240</v>
      </c>
      <c r="B235" t="s">
        <v>508</v>
      </c>
      <c r="C235" s="14">
        <v>1.79</v>
      </c>
      <c r="D235">
        <v>100</v>
      </c>
      <c r="E235" s="26">
        <v>505.3</v>
      </c>
      <c r="F235">
        <v>1230</v>
      </c>
      <c r="G235" s="27">
        <v>63.3</v>
      </c>
      <c r="H235" s="24">
        <f t="shared" si="24"/>
        <v>2.8857695762427582E-3</v>
      </c>
      <c r="I235" s="25">
        <f t="shared" si="25"/>
        <v>1.5256680271559038E-5</v>
      </c>
      <c r="J235" s="24">
        <f t="shared" si="26"/>
        <v>1.3535315146396492</v>
      </c>
      <c r="K235" s="14">
        <v>2.4</v>
      </c>
      <c r="L235" s="27">
        <v>19.53</v>
      </c>
      <c r="M235" s="27">
        <v>3.55</v>
      </c>
      <c r="N235" s="4">
        <f t="shared" si="27"/>
        <v>5.5014084507042256</v>
      </c>
      <c r="O235" s="20">
        <f t="shared" si="28"/>
        <v>10.910614525139666</v>
      </c>
      <c r="P235">
        <f t="shared" si="23"/>
        <v>2399.8504739336495</v>
      </c>
    </row>
    <row r="236" spans="1:16">
      <c r="A236" t="s">
        <v>241</v>
      </c>
      <c r="B236" t="s">
        <v>508</v>
      </c>
      <c r="C236" s="14">
        <v>2.38</v>
      </c>
      <c r="D236">
        <v>750</v>
      </c>
      <c r="E236" s="26">
        <v>505.3</v>
      </c>
      <c r="F236">
        <v>1230</v>
      </c>
      <c r="G236" s="27">
        <v>63.3</v>
      </c>
      <c r="H236" s="24">
        <f t="shared" si="24"/>
        <v>1.6277922924814722E-2</v>
      </c>
      <c r="I236" s="25">
        <f t="shared" si="25"/>
        <v>3.6509912619337251E-4</v>
      </c>
      <c r="J236" s="24">
        <f t="shared" si="26"/>
        <v>1.173833254877434</v>
      </c>
      <c r="K236" s="14">
        <v>2.8</v>
      </c>
      <c r="L236" s="27">
        <v>26.08</v>
      </c>
      <c r="M236" s="27">
        <v>3.67</v>
      </c>
      <c r="N236" s="4">
        <f t="shared" si="27"/>
        <v>7.1062670299727513</v>
      </c>
      <c r="O236" s="20">
        <f t="shared" si="28"/>
        <v>10.957983193277311</v>
      </c>
      <c r="P236">
        <f t="shared" si="23"/>
        <v>2564.8360284360192</v>
      </c>
    </row>
    <row r="237" spans="1:16">
      <c r="A237" t="s">
        <v>242</v>
      </c>
      <c r="B237" t="s">
        <v>508</v>
      </c>
      <c r="C237" s="14">
        <v>2.38</v>
      </c>
      <c r="D237">
        <v>1000</v>
      </c>
      <c r="E237" s="26">
        <v>505.3</v>
      </c>
      <c r="F237">
        <v>1230</v>
      </c>
      <c r="G237" s="27">
        <v>63.3</v>
      </c>
      <c r="H237" s="24">
        <f t="shared" si="24"/>
        <v>2.1703897233086297E-2</v>
      </c>
      <c r="I237" s="25">
        <f t="shared" si="25"/>
        <v>6.4906511323266239E-4</v>
      </c>
      <c r="J237" s="24">
        <f t="shared" si="26"/>
        <v>1.173833254877434</v>
      </c>
      <c r="K237" s="14">
        <v>2.8</v>
      </c>
      <c r="L237" s="27">
        <v>32.83</v>
      </c>
      <c r="M237" s="27">
        <v>3.71</v>
      </c>
      <c r="N237" s="4">
        <f t="shared" si="27"/>
        <v>8.8490566037735849</v>
      </c>
      <c r="O237" s="20">
        <f t="shared" si="28"/>
        <v>13.794117647058824</v>
      </c>
      <c r="P237">
        <f t="shared" si="23"/>
        <v>2621.0499431279627</v>
      </c>
    </row>
    <row r="238" spans="1:16">
      <c r="A238" t="s">
        <v>243</v>
      </c>
      <c r="B238" t="s">
        <v>508</v>
      </c>
      <c r="C238" s="14">
        <v>2.38</v>
      </c>
      <c r="D238">
        <v>500</v>
      </c>
      <c r="E238" s="26">
        <v>505.3</v>
      </c>
      <c r="F238">
        <v>1230</v>
      </c>
      <c r="G238" s="27">
        <v>63.3</v>
      </c>
      <c r="H238" s="24">
        <f t="shared" si="24"/>
        <v>1.0851948616543148E-2</v>
      </c>
      <c r="I238" s="25">
        <f t="shared" si="25"/>
        <v>1.622662783081656E-4</v>
      </c>
      <c r="J238" s="24">
        <f t="shared" si="26"/>
        <v>1.173833254877434</v>
      </c>
      <c r="K238" s="14">
        <v>2.8</v>
      </c>
      <c r="L238" s="27">
        <v>32.78</v>
      </c>
      <c r="M238" s="27">
        <v>3.63</v>
      </c>
      <c r="N238" s="4">
        <f t="shared" si="27"/>
        <v>9.0303030303030312</v>
      </c>
      <c r="O238" s="20">
        <f t="shared" si="28"/>
        <v>13.77310924369748</v>
      </c>
      <c r="P238">
        <f t="shared" si="23"/>
        <v>2509.2314786729858</v>
      </c>
    </row>
    <row r="239" spans="1:16">
      <c r="A239" t="s">
        <v>244</v>
      </c>
      <c r="B239" t="s">
        <v>508</v>
      </c>
      <c r="C239" s="14">
        <v>2.38</v>
      </c>
      <c r="D239">
        <v>250</v>
      </c>
      <c r="E239" s="26">
        <v>505.3</v>
      </c>
      <c r="F239">
        <v>1230</v>
      </c>
      <c r="G239" s="27">
        <v>63.3</v>
      </c>
      <c r="H239" s="24">
        <f t="shared" si="24"/>
        <v>5.4259743082715741E-3</v>
      </c>
      <c r="I239" s="25">
        <f t="shared" si="25"/>
        <v>4.0566569577041399E-5</v>
      </c>
      <c r="J239" s="24">
        <f t="shared" si="26"/>
        <v>1.173833254877434</v>
      </c>
      <c r="K239" s="14">
        <v>2.8</v>
      </c>
      <c r="L239" s="27">
        <v>28.42</v>
      </c>
      <c r="M239" s="27">
        <v>3.71</v>
      </c>
      <c r="N239" s="4">
        <f t="shared" si="27"/>
        <v>7.6603773584905666</v>
      </c>
      <c r="O239" s="20">
        <f t="shared" si="28"/>
        <v>11.941176470588237</v>
      </c>
      <c r="P239">
        <f t="shared" si="23"/>
        <v>2621.0499431279627</v>
      </c>
    </row>
    <row r="240" spans="1:16">
      <c r="A240" t="s">
        <v>245</v>
      </c>
      <c r="B240" t="s">
        <v>509</v>
      </c>
      <c r="C240" s="14">
        <v>2.38</v>
      </c>
      <c r="D240">
        <v>100</v>
      </c>
      <c r="E240" s="26">
        <v>505.3</v>
      </c>
      <c r="F240">
        <v>1230</v>
      </c>
      <c r="G240" s="27">
        <v>63.3</v>
      </c>
      <c r="H240" s="24">
        <f t="shared" si="24"/>
        <v>2.1703897233086296E-3</v>
      </c>
      <c r="I240" s="25">
        <f t="shared" si="25"/>
        <v>6.4906511323266224E-6</v>
      </c>
      <c r="J240" s="24">
        <f t="shared" si="26"/>
        <v>1.1738332548774337</v>
      </c>
      <c r="K240" s="14">
        <v>2.8</v>
      </c>
      <c r="L240" s="27">
        <v>33.57</v>
      </c>
      <c r="M240" s="27">
        <v>3.59</v>
      </c>
      <c r="N240" s="4">
        <f t="shared" si="27"/>
        <v>9.350974930362117</v>
      </c>
      <c r="O240" s="20">
        <f t="shared" si="28"/>
        <v>14.105042016806724</v>
      </c>
      <c r="P240">
        <f t="shared" si="23"/>
        <v>2454.2362938388628</v>
      </c>
    </row>
    <row r="241" spans="1:16">
      <c r="A241" t="s">
        <v>246</v>
      </c>
      <c r="B241" t="s">
        <v>511</v>
      </c>
      <c r="C241" s="14">
        <v>1.79</v>
      </c>
      <c r="D241">
        <v>1000</v>
      </c>
      <c r="E241" s="26">
        <v>1350</v>
      </c>
      <c r="F241">
        <v>1248</v>
      </c>
      <c r="G241" s="27">
        <v>62.8</v>
      </c>
      <c r="H241" s="24">
        <f t="shared" si="24"/>
        <v>1.0959396867573509E-2</v>
      </c>
      <c r="I241" s="25">
        <f t="shared" si="25"/>
        <v>1.560319676304606E-3</v>
      </c>
      <c r="J241" s="24">
        <f t="shared" si="26"/>
        <v>3.6042934155954756</v>
      </c>
      <c r="K241" s="14">
        <v>2.4</v>
      </c>
      <c r="L241" s="27">
        <v>37.06</v>
      </c>
      <c r="M241" s="27">
        <v>3.74</v>
      </c>
      <c r="N241" s="4">
        <f t="shared" si="27"/>
        <v>9.9090909090909083</v>
      </c>
      <c r="O241" s="20">
        <f t="shared" si="28"/>
        <v>20.703910614525139</v>
      </c>
      <c r="P241">
        <f t="shared" si="23"/>
        <v>2724.1073732484083</v>
      </c>
    </row>
    <row r="242" spans="1:16">
      <c r="A242" t="s">
        <v>247</v>
      </c>
      <c r="B242" t="s">
        <v>511</v>
      </c>
      <c r="C242" s="14">
        <v>1.79</v>
      </c>
      <c r="D242">
        <v>1000</v>
      </c>
      <c r="E242" s="26">
        <v>1350</v>
      </c>
      <c r="F242">
        <v>1248</v>
      </c>
      <c r="G242" s="27">
        <v>62.8</v>
      </c>
      <c r="H242" s="24">
        <f t="shared" si="24"/>
        <v>1.0959396867573509E-2</v>
      </c>
      <c r="I242" s="25">
        <f t="shared" si="25"/>
        <v>1.560319676304606E-3</v>
      </c>
      <c r="J242" s="24">
        <f t="shared" si="26"/>
        <v>3.6042934155954756</v>
      </c>
      <c r="K242" s="14">
        <v>2.4</v>
      </c>
      <c r="L242" s="27">
        <v>26.95</v>
      </c>
      <c r="M242" s="27">
        <v>3.52</v>
      </c>
      <c r="N242" s="4">
        <f t="shared" si="27"/>
        <v>7.65625</v>
      </c>
      <c r="O242" s="20">
        <f t="shared" si="28"/>
        <v>15.055865921787708</v>
      </c>
      <c r="P242">
        <f t="shared" si="23"/>
        <v>2413.0501299363059</v>
      </c>
    </row>
    <row r="243" spans="1:16">
      <c r="A243" t="s">
        <v>248</v>
      </c>
      <c r="B243" t="s">
        <v>511</v>
      </c>
      <c r="C243" s="14">
        <v>1.79</v>
      </c>
      <c r="D243">
        <v>750</v>
      </c>
      <c r="E243" s="26">
        <v>1350</v>
      </c>
      <c r="F243">
        <v>1248</v>
      </c>
      <c r="G243" s="27">
        <v>62.8</v>
      </c>
      <c r="H243" s="24">
        <f t="shared" si="24"/>
        <v>8.219547650680132E-3</v>
      </c>
      <c r="I243" s="25">
        <f t="shared" si="25"/>
        <v>8.776798179213406E-4</v>
      </c>
      <c r="J243" s="24">
        <f t="shared" si="26"/>
        <v>3.6042934155954747</v>
      </c>
      <c r="K243" s="14">
        <v>2.4</v>
      </c>
      <c r="L243" s="27">
        <v>36.97</v>
      </c>
      <c r="M243" s="27">
        <v>3.44</v>
      </c>
      <c r="N243" s="4">
        <f t="shared" si="27"/>
        <v>10.747093023255815</v>
      </c>
      <c r="O243" s="20">
        <f t="shared" si="28"/>
        <v>20.653631284916202</v>
      </c>
      <c r="P243">
        <f t="shared" si="23"/>
        <v>2304.6124433121026</v>
      </c>
    </row>
    <row r="244" spans="1:16">
      <c r="A244" t="s">
        <v>249</v>
      </c>
      <c r="B244" t="s">
        <v>511</v>
      </c>
      <c r="C244" s="14">
        <v>1.79</v>
      </c>
      <c r="D244">
        <v>1000</v>
      </c>
      <c r="E244" s="26">
        <v>1350</v>
      </c>
      <c r="F244">
        <v>1248</v>
      </c>
      <c r="G244" s="27">
        <v>62.8</v>
      </c>
      <c r="H244" s="24">
        <f t="shared" si="24"/>
        <v>1.0959396867573509E-2</v>
      </c>
      <c r="I244" s="25">
        <f t="shared" si="25"/>
        <v>1.560319676304606E-3</v>
      </c>
      <c r="J244" s="24">
        <f t="shared" si="26"/>
        <v>3.6042934155954756</v>
      </c>
      <c r="K244" s="14">
        <v>2.4</v>
      </c>
      <c r="L244" s="27">
        <v>37.340000000000003</v>
      </c>
      <c r="M244" s="27">
        <v>3.28</v>
      </c>
      <c r="N244" s="4">
        <f t="shared" si="27"/>
        <v>11.384146341463417</v>
      </c>
      <c r="O244" s="20">
        <f t="shared" si="28"/>
        <v>20.860335195530727</v>
      </c>
      <c r="P244">
        <f t="shared" si="23"/>
        <v>2095.2155312101913</v>
      </c>
    </row>
    <row r="245" spans="1:16">
      <c r="A245" t="s">
        <v>250</v>
      </c>
      <c r="B245" t="s">
        <v>511</v>
      </c>
      <c r="C245" s="14">
        <v>1.79</v>
      </c>
      <c r="D245">
        <v>500</v>
      </c>
      <c r="E245" s="26">
        <v>1350</v>
      </c>
      <c r="F245">
        <v>1248</v>
      </c>
      <c r="G245" s="27">
        <v>62.8</v>
      </c>
      <c r="H245" s="24">
        <f t="shared" si="24"/>
        <v>5.4796984337867546E-3</v>
      </c>
      <c r="I245" s="25">
        <f t="shared" si="25"/>
        <v>3.9007991907615149E-4</v>
      </c>
      <c r="J245" s="24">
        <f t="shared" si="26"/>
        <v>3.6042934155954756</v>
      </c>
      <c r="K245" s="14">
        <v>2.4</v>
      </c>
      <c r="L245" s="27">
        <v>37.18</v>
      </c>
      <c r="M245" s="27">
        <v>3.38</v>
      </c>
      <c r="N245" s="4">
        <f t="shared" si="27"/>
        <v>11</v>
      </c>
      <c r="O245" s="20">
        <f t="shared" si="28"/>
        <v>20.770949720670391</v>
      </c>
      <c r="P245">
        <f t="shared" si="23"/>
        <v>2224.9200917197454</v>
      </c>
    </row>
    <row r="246" spans="1:16">
      <c r="A246" t="s">
        <v>251</v>
      </c>
      <c r="B246" t="s">
        <v>511</v>
      </c>
      <c r="C246" s="14">
        <v>1.79</v>
      </c>
      <c r="D246">
        <v>250</v>
      </c>
      <c r="E246" s="26">
        <v>1350</v>
      </c>
      <c r="F246">
        <v>1248</v>
      </c>
      <c r="G246" s="27">
        <v>62.8</v>
      </c>
      <c r="H246" s="24">
        <f t="shared" si="24"/>
        <v>2.7398492168933773E-3</v>
      </c>
      <c r="I246" s="25">
        <f t="shared" si="25"/>
        <v>9.7519979769037873E-5</v>
      </c>
      <c r="J246" s="24">
        <f t="shared" si="26"/>
        <v>3.6042934155954756</v>
      </c>
      <c r="K246" s="14">
        <v>2.4</v>
      </c>
      <c r="L246" s="27">
        <v>36.31</v>
      </c>
      <c r="M246" s="27">
        <v>3.31</v>
      </c>
      <c r="N246" s="4">
        <f t="shared" si="27"/>
        <v>10.969788519637463</v>
      </c>
      <c r="O246" s="20">
        <f t="shared" si="28"/>
        <v>20.284916201117319</v>
      </c>
      <c r="P246">
        <f t="shared" si="23"/>
        <v>2133.7179210191089</v>
      </c>
    </row>
    <row r="247" spans="1:16">
      <c r="A247" t="s">
        <v>252</v>
      </c>
      <c r="B247" t="s">
        <v>511</v>
      </c>
      <c r="C247" s="14">
        <v>1.79</v>
      </c>
      <c r="D247">
        <v>100</v>
      </c>
      <c r="E247" s="26">
        <v>1350</v>
      </c>
      <c r="F247">
        <v>1248</v>
      </c>
      <c r="G247" s="27">
        <v>62.8</v>
      </c>
      <c r="H247" s="24">
        <f t="shared" si="24"/>
        <v>1.0959396867573511E-3</v>
      </c>
      <c r="I247" s="25">
        <f t="shared" si="25"/>
        <v>1.5603196763046055E-5</v>
      </c>
      <c r="J247" s="24">
        <f t="shared" si="26"/>
        <v>3.6042934155954747</v>
      </c>
      <c r="K247" s="14">
        <v>2.4</v>
      </c>
      <c r="L247" s="27">
        <v>27.29</v>
      </c>
      <c r="M247" s="27">
        <v>3.38</v>
      </c>
      <c r="N247" s="4">
        <f t="shared" si="27"/>
        <v>8.0739644970414197</v>
      </c>
      <c r="O247" s="20">
        <f t="shared" si="28"/>
        <v>15.24581005586592</v>
      </c>
      <c r="P247">
        <f t="shared" si="23"/>
        <v>2224.9200917197454</v>
      </c>
    </row>
    <row r="248" spans="1:16">
      <c r="A248" t="s">
        <v>253</v>
      </c>
      <c r="B248" t="s">
        <v>511</v>
      </c>
      <c r="C248" s="14">
        <v>2.38</v>
      </c>
      <c r="D248">
        <v>100</v>
      </c>
      <c r="E248" s="26">
        <v>1350</v>
      </c>
      <c r="F248">
        <v>1248</v>
      </c>
      <c r="G248" s="27">
        <v>62.8</v>
      </c>
      <c r="H248" s="24">
        <f t="shared" si="24"/>
        <v>8.242571593679237E-4</v>
      </c>
      <c r="I248" s="25">
        <f t="shared" si="25"/>
        <v>6.6380696806482251E-6</v>
      </c>
      <c r="J248" s="24">
        <f t="shared" si="26"/>
        <v>3.1257783256624925</v>
      </c>
      <c r="K248" s="14">
        <v>2.8</v>
      </c>
      <c r="L248" s="27">
        <v>47.42</v>
      </c>
      <c r="M248" s="27">
        <v>3.37</v>
      </c>
      <c r="N248" s="4">
        <f t="shared" si="27"/>
        <v>14.071216617210682</v>
      </c>
      <c r="O248" s="20">
        <f t="shared" si="28"/>
        <v>19.92436974789916</v>
      </c>
      <c r="P248">
        <f t="shared" si="23"/>
        <v>2211.7743592356692</v>
      </c>
    </row>
    <row r="249" spans="1:16">
      <c r="A249" t="s">
        <v>254</v>
      </c>
      <c r="B249" t="s">
        <v>511</v>
      </c>
      <c r="C249" s="14">
        <v>2.38</v>
      </c>
      <c r="D249">
        <v>250</v>
      </c>
      <c r="E249" s="26">
        <v>1350</v>
      </c>
      <c r="F249">
        <v>1248</v>
      </c>
      <c r="G249" s="27">
        <v>62.8</v>
      </c>
      <c r="H249" s="24">
        <f t="shared" si="24"/>
        <v>2.0606428984198091E-3</v>
      </c>
      <c r="I249" s="25">
        <f t="shared" si="25"/>
        <v>4.1487935504051413E-5</v>
      </c>
      <c r="J249" s="24">
        <f t="shared" si="26"/>
        <v>3.1257783256624929</v>
      </c>
      <c r="K249" s="14">
        <v>2.8</v>
      </c>
      <c r="L249" s="27">
        <v>47.67</v>
      </c>
      <c r="M249" s="27">
        <v>3.42</v>
      </c>
      <c r="N249" s="4">
        <f t="shared" si="27"/>
        <v>13.93859649122807</v>
      </c>
      <c r="O249" s="20">
        <f t="shared" si="28"/>
        <v>20.029411764705884</v>
      </c>
      <c r="P249">
        <f t="shared" si="23"/>
        <v>2277.8925248407645</v>
      </c>
    </row>
    <row r="250" spans="1:16">
      <c r="A250" t="s">
        <v>255</v>
      </c>
      <c r="B250" t="s">
        <v>511</v>
      </c>
      <c r="C250" s="14">
        <v>2.38</v>
      </c>
      <c r="D250">
        <v>500</v>
      </c>
      <c r="E250" s="26">
        <v>1350</v>
      </c>
      <c r="F250">
        <v>1248</v>
      </c>
      <c r="G250" s="27">
        <v>62.8</v>
      </c>
      <c r="H250" s="24">
        <f t="shared" si="24"/>
        <v>4.1212857968396183E-3</v>
      </c>
      <c r="I250" s="25">
        <f t="shared" si="25"/>
        <v>1.6595174201620565E-4</v>
      </c>
      <c r="J250" s="24">
        <f t="shared" si="26"/>
        <v>3.1257783256624929</v>
      </c>
      <c r="K250" s="14">
        <v>2.8</v>
      </c>
      <c r="L250" s="27">
        <v>48.72</v>
      </c>
      <c r="M250" s="27">
        <v>3.39</v>
      </c>
      <c r="N250" s="4">
        <f t="shared" si="27"/>
        <v>14.371681415929203</v>
      </c>
      <c r="O250" s="20">
        <f t="shared" si="28"/>
        <v>20.47058823529412</v>
      </c>
      <c r="P250">
        <f t="shared" si="23"/>
        <v>2238.1047745222932</v>
      </c>
    </row>
    <row r="251" spans="1:16">
      <c r="A251" t="s">
        <v>256</v>
      </c>
      <c r="B251" t="s">
        <v>511</v>
      </c>
      <c r="C251" s="14">
        <v>2.38</v>
      </c>
      <c r="D251">
        <v>750</v>
      </c>
      <c r="E251" s="26">
        <v>1350</v>
      </c>
      <c r="F251">
        <v>1248</v>
      </c>
      <c r="G251" s="27">
        <v>62.8</v>
      </c>
      <c r="H251" s="24">
        <f t="shared" si="24"/>
        <v>6.1819286952594279E-3</v>
      </c>
      <c r="I251" s="25">
        <f t="shared" si="25"/>
        <v>3.7339141953646258E-4</v>
      </c>
      <c r="J251" s="24">
        <f t="shared" si="26"/>
        <v>3.1257783256624925</v>
      </c>
      <c r="K251" s="14">
        <v>2.8</v>
      </c>
      <c r="L251" s="27">
        <v>46.43</v>
      </c>
      <c r="M251" s="27">
        <v>3.29</v>
      </c>
      <c r="N251" s="4">
        <f t="shared" si="27"/>
        <v>14.112462006079028</v>
      </c>
      <c r="O251" s="20">
        <f t="shared" si="28"/>
        <v>19.508403361344538</v>
      </c>
      <c r="P251">
        <f t="shared" si="23"/>
        <v>2108.0107108280258</v>
      </c>
    </row>
    <row r="252" spans="1:16">
      <c r="A252" t="s">
        <v>257</v>
      </c>
      <c r="B252" t="s">
        <v>511</v>
      </c>
      <c r="C252" s="14">
        <v>2.38</v>
      </c>
      <c r="D252">
        <v>1000</v>
      </c>
      <c r="E252" s="26">
        <v>1350</v>
      </c>
      <c r="F252">
        <v>1248</v>
      </c>
      <c r="G252" s="27">
        <v>62.8</v>
      </c>
      <c r="H252" s="24">
        <f t="shared" si="24"/>
        <v>8.2425715936792366E-3</v>
      </c>
      <c r="I252" s="25">
        <f t="shared" si="25"/>
        <v>6.6380696806482261E-4</v>
      </c>
      <c r="J252" s="24">
        <f t="shared" si="26"/>
        <v>3.1257783256624929</v>
      </c>
      <c r="K252" s="14">
        <v>2.8</v>
      </c>
      <c r="L252" s="27">
        <v>47.51</v>
      </c>
      <c r="M252" s="27">
        <v>3.57</v>
      </c>
      <c r="N252" s="4">
        <f t="shared" si="27"/>
        <v>13.308123249299721</v>
      </c>
      <c r="O252" s="20">
        <f t="shared" si="28"/>
        <v>19.962184873949578</v>
      </c>
      <c r="P252">
        <f t="shared" si="23"/>
        <v>2482.0895694267515</v>
      </c>
    </row>
    <row r="253" spans="1:16">
      <c r="A253" t="s">
        <v>258</v>
      </c>
      <c r="B253" t="s">
        <v>513</v>
      </c>
      <c r="C253" s="14">
        <v>2.38</v>
      </c>
      <c r="D253">
        <v>1000</v>
      </c>
      <c r="E253" s="26">
        <v>1.49</v>
      </c>
      <c r="F253">
        <v>790</v>
      </c>
      <c r="G253" s="27">
        <v>22.8</v>
      </c>
      <c r="H253" s="24">
        <f t="shared" si="24"/>
        <v>4.7274041713231938</v>
      </c>
      <c r="I253" s="25">
        <f t="shared" si="25"/>
        <v>1.1573883582023155E-3</v>
      </c>
      <c r="J253" s="24">
        <f t="shared" si="26"/>
        <v>7.1964252839247867E-3</v>
      </c>
      <c r="K253" s="14">
        <v>2.8</v>
      </c>
      <c r="L253" s="27">
        <v>9.64</v>
      </c>
      <c r="M253" s="27">
        <v>3.12</v>
      </c>
      <c r="N253" s="4">
        <f t="shared" si="27"/>
        <v>3.0897435897435899</v>
      </c>
      <c r="O253" s="20">
        <f t="shared" si="28"/>
        <v>4.0504201680672276</v>
      </c>
      <c r="P253">
        <f t="shared" si="23"/>
        <v>3305.4265263157899</v>
      </c>
    </row>
    <row r="254" spans="1:16">
      <c r="A254" t="s">
        <v>259</v>
      </c>
      <c r="B254" t="s">
        <v>513</v>
      </c>
      <c r="C254" s="14">
        <v>2.38</v>
      </c>
      <c r="D254">
        <v>750</v>
      </c>
      <c r="E254" s="26">
        <v>1.49</v>
      </c>
      <c r="F254">
        <v>790</v>
      </c>
      <c r="G254" s="27">
        <v>22.8</v>
      </c>
      <c r="H254" s="24">
        <f t="shared" si="24"/>
        <v>3.5455531284923958</v>
      </c>
      <c r="I254" s="25">
        <f t="shared" si="25"/>
        <v>6.5103095148880239E-4</v>
      </c>
      <c r="J254" s="24">
        <f t="shared" si="26"/>
        <v>7.1964252839247858E-3</v>
      </c>
      <c r="K254" s="14">
        <v>2.8</v>
      </c>
      <c r="L254" s="27">
        <v>9.67</v>
      </c>
      <c r="M254" s="27">
        <v>3.11</v>
      </c>
      <c r="N254" s="4">
        <f t="shared" si="27"/>
        <v>3.109324758842444</v>
      </c>
      <c r="O254" s="20">
        <f t="shared" si="28"/>
        <v>4.0630252100840334</v>
      </c>
      <c r="P254">
        <f t="shared" si="23"/>
        <v>3284.2718508771932</v>
      </c>
    </row>
    <row r="255" spans="1:16">
      <c r="A255" t="s">
        <v>260</v>
      </c>
      <c r="B255" t="s">
        <v>512</v>
      </c>
      <c r="C255" s="14">
        <v>2.38</v>
      </c>
      <c r="D255">
        <v>500</v>
      </c>
      <c r="E255" s="26">
        <v>1.49</v>
      </c>
      <c r="F255">
        <v>790</v>
      </c>
      <c r="G255" s="27">
        <v>22.8</v>
      </c>
      <c r="H255" s="24">
        <f t="shared" si="24"/>
        <v>2.3637020856615969</v>
      </c>
      <c r="I255" s="25">
        <f t="shared" si="25"/>
        <v>2.8934708955057889E-4</v>
      </c>
      <c r="J255" s="24">
        <f t="shared" si="26"/>
        <v>7.1964252839247867E-3</v>
      </c>
      <c r="K255" s="14">
        <v>2.8</v>
      </c>
      <c r="L255" s="27">
        <v>9.5500000000000007</v>
      </c>
      <c r="M255" s="27">
        <v>3.1</v>
      </c>
      <c r="N255" s="4">
        <f t="shared" si="27"/>
        <v>3.0806451612903225</v>
      </c>
      <c r="O255" s="20">
        <f t="shared" si="28"/>
        <v>4.0126050420168076</v>
      </c>
      <c r="P255">
        <f t="shared" si="23"/>
        <v>3263.1850877192987</v>
      </c>
    </row>
    <row r="256" spans="1:16">
      <c r="A256" t="s">
        <v>261</v>
      </c>
      <c r="B256" t="s">
        <v>512</v>
      </c>
      <c r="C256" s="14">
        <v>2.38</v>
      </c>
      <c r="D256">
        <v>250</v>
      </c>
      <c r="E256" s="26">
        <v>1.49</v>
      </c>
      <c r="F256">
        <v>790</v>
      </c>
      <c r="G256" s="27">
        <v>22.8</v>
      </c>
      <c r="H256" s="24">
        <f t="shared" si="24"/>
        <v>1.1818510428307984</v>
      </c>
      <c r="I256" s="25">
        <f t="shared" si="25"/>
        <v>7.2336772387644722E-5</v>
      </c>
      <c r="J256" s="24">
        <f t="shared" si="26"/>
        <v>7.1964252839247867E-3</v>
      </c>
      <c r="K256" s="14">
        <v>2.8</v>
      </c>
      <c r="L256" s="27">
        <v>9.5</v>
      </c>
      <c r="M256" s="27">
        <v>3.09</v>
      </c>
      <c r="N256" s="4">
        <f t="shared" si="27"/>
        <v>3.0744336569579289</v>
      </c>
      <c r="O256" s="20">
        <f t="shared" si="28"/>
        <v>3.9915966386554622</v>
      </c>
      <c r="P256">
        <f t="shared" si="23"/>
        <v>3242.1662368421057</v>
      </c>
    </row>
    <row r="257" spans="1:16">
      <c r="A257" t="s">
        <v>262</v>
      </c>
      <c r="B257" t="s">
        <v>512</v>
      </c>
      <c r="C257" s="14">
        <v>2.38</v>
      </c>
      <c r="D257">
        <v>100</v>
      </c>
      <c r="E257" s="26">
        <v>1.49</v>
      </c>
      <c r="F257">
        <v>790</v>
      </c>
      <c r="G257" s="27">
        <v>22.8</v>
      </c>
      <c r="H257" s="24">
        <f t="shared" si="24"/>
        <v>0.4727404171323194</v>
      </c>
      <c r="I257" s="25">
        <f t="shared" si="25"/>
        <v>1.1573883582023153E-5</v>
      </c>
      <c r="J257" s="24">
        <f t="shared" si="26"/>
        <v>7.1964252839247867E-3</v>
      </c>
      <c r="K257" s="14">
        <v>2.8</v>
      </c>
      <c r="L257" s="27">
        <v>9.42</v>
      </c>
      <c r="M257" s="27">
        <v>3.09</v>
      </c>
      <c r="N257" s="4">
        <f t="shared" si="27"/>
        <v>3.0485436893203883</v>
      </c>
      <c r="O257" s="20">
        <f t="shared" si="28"/>
        <v>3.9579831932773111</v>
      </c>
      <c r="P257">
        <f t="shared" si="23"/>
        <v>3242.1662368421057</v>
      </c>
    </row>
    <row r="258" spans="1:16">
      <c r="A258" t="s">
        <v>263</v>
      </c>
      <c r="B258" t="s">
        <v>512</v>
      </c>
      <c r="C258" s="14">
        <v>1.79</v>
      </c>
      <c r="D258">
        <v>1000</v>
      </c>
      <c r="E258" s="26">
        <v>1.49</v>
      </c>
      <c r="F258">
        <v>790</v>
      </c>
      <c r="G258" s="27">
        <v>22.8</v>
      </c>
      <c r="H258" s="24">
        <f t="shared" si="24"/>
        <v>6.2855988423179898</v>
      </c>
      <c r="I258" s="25">
        <f t="shared" si="25"/>
        <v>2.7205135156891059E-3</v>
      </c>
      <c r="J258" s="24">
        <f t="shared" si="26"/>
        <v>8.2981022850292744E-3</v>
      </c>
      <c r="K258" s="14">
        <v>2.4</v>
      </c>
      <c r="L258" s="27">
        <v>8.32</v>
      </c>
      <c r="M258" s="27">
        <v>2.93</v>
      </c>
      <c r="N258" s="4">
        <f t="shared" si="27"/>
        <v>2.8395904436860069</v>
      </c>
      <c r="O258" s="20">
        <f t="shared" si="28"/>
        <v>4.6480446927374306</v>
      </c>
      <c r="P258">
        <f t="shared" si="23"/>
        <v>2915.1006929824562</v>
      </c>
    </row>
    <row r="259" spans="1:16">
      <c r="A259" t="s">
        <v>264</v>
      </c>
      <c r="B259" t="s">
        <v>512</v>
      </c>
      <c r="C259" s="14">
        <v>1.79</v>
      </c>
      <c r="D259">
        <v>750</v>
      </c>
      <c r="E259" s="26">
        <v>1.49</v>
      </c>
      <c r="F259">
        <v>790</v>
      </c>
      <c r="G259" s="27">
        <v>22.8</v>
      </c>
      <c r="H259" s="24">
        <f t="shared" si="24"/>
        <v>4.7141991317384928</v>
      </c>
      <c r="I259" s="25">
        <f t="shared" si="25"/>
        <v>1.5302888525751217E-3</v>
      </c>
      <c r="J259" s="24">
        <f t="shared" si="26"/>
        <v>8.2981022850292709E-3</v>
      </c>
      <c r="K259" s="14">
        <v>2.4</v>
      </c>
      <c r="L259" s="27">
        <v>8.3699999999999992</v>
      </c>
      <c r="M259" s="27">
        <v>2.92</v>
      </c>
      <c r="N259" s="4">
        <f t="shared" si="27"/>
        <v>2.8664383561643834</v>
      </c>
      <c r="O259" s="20">
        <f t="shared" si="28"/>
        <v>4.6759776536312847</v>
      </c>
      <c r="P259">
        <f t="shared" si="23"/>
        <v>2895.2363508771928</v>
      </c>
    </row>
    <row r="260" spans="1:16">
      <c r="A260" t="s">
        <v>265</v>
      </c>
      <c r="B260" t="s">
        <v>512</v>
      </c>
      <c r="C260" s="14">
        <v>1.79</v>
      </c>
      <c r="D260">
        <v>500</v>
      </c>
      <c r="E260" s="26">
        <v>1.49</v>
      </c>
      <c r="F260">
        <v>790</v>
      </c>
      <c r="G260" s="27">
        <v>22.8</v>
      </c>
      <c r="H260" s="24">
        <f t="shared" si="24"/>
        <v>3.1427994211589949</v>
      </c>
      <c r="I260" s="25">
        <f t="shared" si="25"/>
        <v>6.8012837892227648E-4</v>
      </c>
      <c r="J260" s="24">
        <f t="shared" si="26"/>
        <v>8.2981022850292744E-3</v>
      </c>
      <c r="K260" s="14">
        <v>2.4</v>
      </c>
      <c r="L260" s="27">
        <v>8.35</v>
      </c>
      <c r="M260" s="27">
        <v>2.93</v>
      </c>
      <c r="N260" s="4">
        <f t="shared" si="27"/>
        <v>2.8498293515358357</v>
      </c>
      <c r="O260" s="20">
        <f t="shared" si="28"/>
        <v>4.6648044692737427</v>
      </c>
      <c r="P260">
        <f t="shared" ref="P260:P323" si="29">F260*M260*M260*9.8/G260</f>
        <v>2915.1006929824562</v>
      </c>
    </row>
    <row r="261" spans="1:16">
      <c r="A261" t="s">
        <v>266</v>
      </c>
      <c r="B261" t="s">
        <v>512</v>
      </c>
      <c r="C261" s="14">
        <v>1.79</v>
      </c>
      <c r="D261">
        <v>250</v>
      </c>
      <c r="E261" s="26">
        <v>1.49</v>
      </c>
      <c r="F261">
        <v>790</v>
      </c>
      <c r="G261" s="27">
        <v>22.8</v>
      </c>
      <c r="H261" s="24">
        <f t="shared" si="24"/>
        <v>1.5713997105794975</v>
      </c>
      <c r="I261" s="25">
        <f t="shared" si="25"/>
        <v>1.7003209473056912E-4</v>
      </c>
      <c r="J261" s="24">
        <f t="shared" si="26"/>
        <v>8.2981022850292744E-3</v>
      </c>
      <c r="K261" s="14">
        <v>2.4</v>
      </c>
      <c r="L261" s="27">
        <v>8.2200000000000006</v>
      </c>
      <c r="M261" s="27">
        <v>2.89</v>
      </c>
      <c r="N261" s="4">
        <f t="shared" si="27"/>
        <v>2.8442906574394464</v>
      </c>
      <c r="O261" s="20">
        <f t="shared" si="28"/>
        <v>4.5921787709497206</v>
      </c>
      <c r="P261">
        <f t="shared" si="29"/>
        <v>2836.0507982456138</v>
      </c>
    </row>
    <row r="262" spans="1:16">
      <c r="A262" t="s">
        <v>267</v>
      </c>
      <c r="B262" t="s">
        <v>512</v>
      </c>
      <c r="C262" s="14">
        <v>1.79</v>
      </c>
      <c r="D262">
        <v>100</v>
      </c>
      <c r="E262" s="26">
        <v>1.49</v>
      </c>
      <c r="F262">
        <v>790</v>
      </c>
      <c r="G262" s="27">
        <v>22.8</v>
      </c>
      <c r="H262" s="24">
        <f t="shared" si="24"/>
        <v>0.62855988423179898</v>
      </c>
      <c r="I262" s="25">
        <f t="shared" si="25"/>
        <v>2.7205135156891055E-5</v>
      </c>
      <c r="J262" s="24">
        <f t="shared" si="26"/>
        <v>8.2981022850292727E-3</v>
      </c>
      <c r="K262" s="14">
        <v>2.4</v>
      </c>
      <c r="L262" s="27">
        <v>8.16</v>
      </c>
      <c r="M262" s="27">
        <v>2.88</v>
      </c>
      <c r="N262" s="4">
        <f t="shared" si="27"/>
        <v>2.8333333333333335</v>
      </c>
      <c r="O262" s="20">
        <f t="shared" si="28"/>
        <v>4.5586592178770946</v>
      </c>
      <c r="P262">
        <f t="shared" si="29"/>
        <v>2816.4581052631574</v>
      </c>
    </row>
    <row r="263" spans="1:16">
      <c r="A263" t="s">
        <v>268</v>
      </c>
      <c r="B263" t="s">
        <v>512</v>
      </c>
      <c r="C263" s="14">
        <v>1.37</v>
      </c>
      <c r="D263">
        <v>1000</v>
      </c>
      <c r="E263" s="26">
        <v>1.49</v>
      </c>
      <c r="F263">
        <v>790</v>
      </c>
      <c r="G263" s="27">
        <v>22.8</v>
      </c>
      <c r="H263" s="24">
        <f t="shared" si="24"/>
        <v>8.2125707501818983</v>
      </c>
      <c r="I263" s="25">
        <f t="shared" si="25"/>
        <v>6.0680378254400862E-3</v>
      </c>
      <c r="J263" s="24">
        <f t="shared" si="26"/>
        <v>9.4851677429663352E-3</v>
      </c>
      <c r="K263" s="14">
        <v>1.8</v>
      </c>
      <c r="L263" s="27">
        <v>6.68</v>
      </c>
      <c r="M263" s="27">
        <v>2.66</v>
      </c>
      <c r="N263" s="4">
        <f t="shared" si="27"/>
        <v>2.5112781954887216</v>
      </c>
      <c r="O263" s="20">
        <f t="shared" si="28"/>
        <v>4.8759124087591239</v>
      </c>
      <c r="P263">
        <f t="shared" si="29"/>
        <v>2402.6006666666667</v>
      </c>
    </row>
    <row r="264" spans="1:16">
      <c r="A264" t="s">
        <v>269</v>
      </c>
      <c r="B264" t="s">
        <v>512</v>
      </c>
      <c r="C264" s="14">
        <v>1.37</v>
      </c>
      <c r="D264">
        <v>750</v>
      </c>
      <c r="E264" s="26">
        <v>1.49</v>
      </c>
      <c r="F264">
        <v>790</v>
      </c>
      <c r="G264" s="27">
        <v>22.8</v>
      </c>
      <c r="H264" s="24">
        <f t="shared" si="24"/>
        <v>6.1594280626364242</v>
      </c>
      <c r="I264" s="25">
        <f t="shared" si="25"/>
        <v>3.4132712768100478E-3</v>
      </c>
      <c r="J264" s="24">
        <f t="shared" si="26"/>
        <v>9.4851677429663335E-3</v>
      </c>
      <c r="K264" s="14">
        <v>1.8</v>
      </c>
      <c r="L264" s="27">
        <v>6.74</v>
      </c>
      <c r="M264" s="27">
        <v>2.67</v>
      </c>
      <c r="N264" s="4">
        <f t="shared" si="27"/>
        <v>2.5243445692883895</v>
      </c>
      <c r="O264" s="20">
        <f t="shared" si="28"/>
        <v>4.9197080291970803</v>
      </c>
      <c r="P264">
        <f t="shared" si="29"/>
        <v>2420.6992894736841</v>
      </c>
    </row>
    <row r="265" spans="1:16">
      <c r="A265" t="s">
        <v>270</v>
      </c>
      <c r="B265" t="s">
        <v>512</v>
      </c>
      <c r="C265" s="14">
        <v>1.37</v>
      </c>
      <c r="D265">
        <v>500</v>
      </c>
      <c r="E265" s="26">
        <v>1.49</v>
      </c>
      <c r="F265">
        <v>790</v>
      </c>
      <c r="G265" s="27">
        <v>22.8</v>
      </c>
      <c r="H265" s="24">
        <f t="shared" si="24"/>
        <v>4.1062853750909492</v>
      </c>
      <c r="I265" s="25">
        <f t="shared" si="25"/>
        <v>1.5170094563600215E-3</v>
      </c>
      <c r="J265" s="24">
        <f t="shared" si="26"/>
        <v>9.4851677429663352E-3</v>
      </c>
      <c r="K265" s="14">
        <v>1.8</v>
      </c>
      <c r="L265" s="27">
        <v>6.71</v>
      </c>
      <c r="M265" s="27">
        <v>2.7</v>
      </c>
      <c r="N265" s="4">
        <f t="shared" si="27"/>
        <v>2.4851851851851849</v>
      </c>
      <c r="O265" s="20">
        <f t="shared" si="28"/>
        <v>4.8978102189781021</v>
      </c>
      <c r="P265">
        <f t="shared" si="29"/>
        <v>2475.4026315789474</v>
      </c>
    </row>
    <row r="266" spans="1:16">
      <c r="A266" t="s">
        <v>271</v>
      </c>
      <c r="B266" t="s">
        <v>512</v>
      </c>
      <c r="C266" s="14">
        <v>1.37</v>
      </c>
      <c r="D266">
        <v>250</v>
      </c>
      <c r="E266" s="26">
        <v>1.49</v>
      </c>
      <c r="F266">
        <v>790</v>
      </c>
      <c r="G266" s="27">
        <v>22.8</v>
      </c>
      <c r="H266" s="24">
        <f t="shared" si="24"/>
        <v>2.0531426875454746</v>
      </c>
      <c r="I266" s="25">
        <f t="shared" si="25"/>
        <v>3.7925236409000538E-4</v>
      </c>
      <c r="J266" s="24">
        <f t="shared" si="26"/>
        <v>9.4851677429663352E-3</v>
      </c>
      <c r="K266" s="14">
        <v>1.8</v>
      </c>
      <c r="L266" s="27">
        <v>6.51</v>
      </c>
      <c r="M266" s="27">
        <v>2.68</v>
      </c>
      <c r="N266" s="4">
        <f t="shared" si="27"/>
        <v>2.4291044776119399</v>
      </c>
      <c r="O266" s="20">
        <f t="shared" si="28"/>
        <v>4.7518248175182478</v>
      </c>
      <c r="P266">
        <f t="shared" si="29"/>
        <v>2438.8658245614042</v>
      </c>
    </row>
    <row r="267" spans="1:16">
      <c r="A267" t="s">
        <v>272</v>
      </c>
      <c r="B267" t="s">
        <v>512</v>
      </c>
      <c r="C267" s="14">
        <v>1.37</v>
      </c>
      <c r="D267">
        <v>100</v>
      </c>
      <c r="E267" s="26">
        <v>1.49</v>
      </c>
      <c r="F267">
        <v>790</v>
      </c>
      <c r="G267" s="27">
        <v>22.8</v>
      </c>
      <c r="H267" s="24">
        <f t="shared" si="24"/>
        <v>0.82125707501818968</v>
      </c>
      <c r="I267" s="25">
        <f t="shared" si="25"/>
        <v>6.0680378254400846E-5</v>
      </c>
      <c r="J267" s="24">
        <f t="shared" si="26"/>
        <v>9.4851677429663352E-3</v>
      </c>
      <c r="K267" s="14">
        <v>1.8</v>
      </c>
      <c r="L267" s="27">
        <v>6.13</v>
      </c>
      <c r="M267" s="27">
        <v>2.64</v>
      </c>
      <c r="N267" s="4">
        <f t="shared" si="27"/>
        <v>2.3219696969696968</v>
      </c>
      <c r="O267" s="20">
        <f t="shared" si="28"/>
        <v>4.4744525547445253</v>
      </c>
      <c r="P267">
        <f t="shared" si="29"/>
        <v>2366.6071578947372</v>
      </c>
    </row>
    <row r="268" spans="1:16">
      <c r="A268" t="s">
        <v>273</v>
      </c>
      <c r="B268" t="s">
        <v>512</v>
      </c>
      <c r="C268" s="14">
        <v>0.83</v>
      </c>
      <c r="D268">
        <v>1000</v>
      </c>
      <c r="E268" s="26">
        <v>1.49</v>
      </c>
      <c r="F268">
        <v>790</v>
      </c>
      <c r="G268" s="27">
        <v>22.8</v>
      </c>
      <c r="H268" s="24">
        <f t="shared" si="24"/>
        <v>13.555689069577353</v>
      </c>
      <c r="I268" s="25">
        <f t="shared" si="25"/>
        <v>2.7288251160937284E-2</v>
      </c>
      <c r="J268" s="24">
        <f t="shared" si="26"/>
        <v>1.2186142522174715E-2</v>
      </c>
      <c r="K268" s="14">
        <v>1.27</v>
      </c>
      <c r="L268" s="27">
        <v>5</v>
      </c>
      <c r="M268" s="27">
        <v>2.4700000000000002</v>
      </c>
      <c r="N268" s="4">
        <f t="shared" si="27"/>
        <v>2.0242914979757085</v>
      </c>
      <c r="O268" s="20">
        <f t="shared" si="28"/>
        <v>6.024096385542169</v>
      </c>
      <c r="P268">
        <f t="shared" si="29"/>
        <v>2071.6301666666673</v>
      </c>
    </row>
    <row r="269" spans="1:16">
      <c r="A269" t="s">
        <v>274</v>
      </c>
      <c r="B269" t="s">
        <v>512</v>
      </c>
      <c r="C269" s="14">
        <v>0.83</v>
      </c>
      <c r="D269">
        <v>750</v>
      </c>
      <c r="E269" s="26">
        <v>1.49</v>
      </c>
      <c r="F269">
        <v>790</v>
      </c>
      <c r="G269" s="27">
        <v>22.8</v>
      </c>
      <c r="H269" s="24">
        <f t="shared" si="24"/>
        <v>10.166766802183016</v>
      </c>
      <c r="I269" s="25">
        <f t="shared" si="25"/>
        <v>1.5349641278027218E-2</v>
      </c>
      <c r="J269" s="24">
        <f t="shared" si="26"/>
        <v>1.2186142522174712E-2</v>
      </c>
      <c r="K269" s="14">
        <v>1.27</v>
      </c>
      <c r="L269" s="27">
        <v>4.91</v>
      </c>
      <c r="M269" s="27">
        <v>2.44</v>
      </c>
      <c r="N269" s="4">
        <f t="shared" si="27"/>
        <v>2.0122950819672134</v>
      </c>
      <c r="O269" s="20">
        <f t="shared" si="28"/>
        <v>5.9156626506024104</v>
      </c>
      <c r="P269">
        <f t="shared" si="29"/>
        <v>2021.6127719298247</v>
      </c>
    </row>
    <row r="270" spans="1:16">
      <c r="A270" t="s">
        <v>275</v>
      </c>
      <c r="B270" t="s">
        <v>512</v>
      </c>
      <c r="C270" s="14">
        <v>0.83</v>
      </c>
      <c r="D270">
        <v>500</v>
      </c>
      <c r="E270" s="26">
        <v>1.49</v>
      </c>
      <c r="F270">
        <v>790</v>
      </c>
      <c r="G270" s="27">
        <v>22.8</v>
      </c>
      <c r="H270" s="24">
        <f t="shared" si="24"/>
        <v>6.7778445347886764</v>
      </c>
      <c r="I270" s="25">
        <f t="shared" si="25"/>
        <v>6.822062790234321E-3</v>
      </c>
      <c r="J270" s="24">
        <f t="shared" si="26"/>
        <v>1.2186142522174715E-2</v>
      </c>
      <c r="K270" s="14">
        <v>1.27</v>
      </c>
      <c r="L270" s="27">
        <v>4.9000000000000004</v>
      </c>
      <c r="M270" s="27">
        <v>2.42</v>
      </c>
      <c r="N270" s="4">
        <f t="shared" si="27"/>
        <v>2.0247933884297522</v>
      </c>
      <c r="O270" s="20">
        <f t="shared" si="28"/>
        <v>5.9036144578313259</v>
      </c>
      <c r="P270">
        <f t="shared" si="29"/>
        <v>1988.607403508772</v>
      </c>
    </row>
    <row r="271" spans="1:16">
      <c r="A271" t="s">
        <v>276</v>
      </c>
      <c r="B271" t="s">
        <v>512</v>
      </c>
      <c r="C271" s="14">
        <v>0.83</v>
      </c>
      <c r="D271">
        <v>250</v>
      </c>
      <c r="E271" s="26">
        <v>1.49</v>
      </c>
      <c r="F271">
        <v>790</v>
      </c>
      <c r="G271" s="27">
        <v>22.8</v>
      </c>
      <c r="H271" s="24">
        <f t="shared" si="24"/>
        <v>3.3889222673943382</v>
      </c>
      <c r="I271" s="25">
        <f t="shared" si="25"/>
        <v>1.7055156975585802E-3</v>
      </c>
      <c r="J271" s="24">
        <f t="shared" si="26"/>
        <v>1.2186142522174715E-2</v>
      </c>
      <c r="K271" s="14">
        <v>1.27</v>
      </c>
      <c r="L271" s="27">
        <v>4.92</v>
      </c>
      <c r="M271" s="27">
        <v>2.4300000000000002</v>
      </c>
      <c r="N271" s="4">
        <f t="shared" si="27"/>
        <v>2.024691358024691</v>
      </c>
      <c r="O271" s="20">
        <f t="shared" si="28"/>
        <v>5.927710843373494</v>
      </c>
      <c r="P271">
        <f t="shared" si="29"/>
        <v>2005.0761315789473</v>
      </c>
    </row>
    <row r="272" spans="1:16">
      <c r="A272" t="s">
        <v>277</v>
      </c>
      <c r="B272" t="s">
        <v>512</v>
      </c>
      <c r="C272" s="14">
        <v>0.83</v>
      </c>
      <c r="D272">
        <v>100</v>
      </c>
      <c r="E272" s="26">
        <v>1.49</v>
      </c>
      <c r="F272">
        <v>790</v>
      </c>
      <c r="G272" s="27">
        <v>22.8</v>
      </c>
      <c r="H272" s="24">
        <f t="shared" si="24"/>
        <v>1.3555689069577352</v>
      </c>
      <c r="I272" s="25">
        <f t="shared" si="25"/>
        <v>2.7288251160937277E-4</v>
      </c>
      <c r="J272" s="24">
        <f t="shared" si="26"/>
        <v>1.2186142522174712E-2</v>
      </c>
      <c r="K272" s="14">
        <v>1.27</v>
      </c>
      <c r="L272" s="27">
        <v>4.87</v>
      </c>
      <c r="M272" s="27">
        <v>2.41</v>
      </c>
      <c r="N272" s="4">
        <f t="shared" si="27"/>
        <v>2.0207468879668049</v>
      </c>
      <c r="O272" s="20">
        <f t="shared" si="28"/>
        <v>5.8674698795180724</v>
      </c>
      <c r="P272">
        <f t="shared" si="29"/>
        <v>1972.2065877192986</v>
      </c>
    </row>
    <row r="273" spans="1:16">
      <c r="A273" t="s">
        <v>278</v>
      </c>
      <c r="B273" t="s">
        <v>512</v>
      </c>
      <c r="C273" s="14">
        <v>0.25</v>
      </c>
      <c r="D273">
        <v>1000</v>
      </c>
      <c r="E273" s="26">
        <v>1.49</v>
      </c>
      <c r="F273">
        <v>790</v>
      </c>
      <c r="G273" s="27">
        <v>22.8</v>
      </c>
      <c r="H273" s="24">
        <f t="shared" si="24"/>
        <v>45.004887710996805</v>
      </c>
      <c r="I273" s="25">
        <f t="shared" si="25"/>
        <v>0.99859630505976604</v>
      </c>
      <c r="J273" s="24">
        <f t="shared" si="26"/>
        <v>2.2204208406851746E-2</v>
      </c>
      <c r="K273" s="14">
        <v>0.51</v>
      </c>
      <c r="L273" s="27">
        <v>2.7</v>
      </c>
      <c r="M273" s="27">
        <v>1.96</v>
      </c>
      <c r="N273" s="4">
        <f t="shared" si="27"/>
        <v>1.3775510204081634</v>
      </c>
      <c r="O273" s="20">
        <f t="shared" si="28"/>
        <v>10.8</v>
      </c>
      <c r="P273">
        <f t="shared" si="29"/>
        <v>1304.4590877192979</v>
      </c>
    </row>
    <row r="274" spans="1:16">
      <c r="A274" t="s">
        <v>279</v>
      </c>
      <c r="B274" t="s">
        <v>512</v>
      </c>
      <c r="C274" s="14">
        <v>0.25</v>
      </c>
      <c r="D274">
        <v>750</v>
      </c>
      <c r="E274" s="26">
        <v>1.49</v>
      </c>
      <c r="F274">
        <v>790</v>
      </c>
      <c r="G274" s="27">
        <v>22.8</v>
      </c>
      <c r="H274" s="24">
        <f t="shared" si="24"/>
        <v>33.753665783247605</v>
      </c>
      <c r="I274" s="25">
        <f t="shared" si="25"/>
        <v>0.56171042159611828</v>
      </c>
      <c r="J274" s="24">
        <f t="shared" si="26"/>
        <v>2.2204208406851743E-2</v>
      </c>
      <c r="K274" s="14">
        <v>0.51</v>
      </c>
      <c r="L274" s="27">
        <v>2.74</v>
      </c>
      <c r="M274" s="27">
        <v>1.98</v>
      </c>
      <c r="N274" s="4">
        <f t="shared" si="27"/>
        <v>1.3838383838383839</v>
      </c>
      <c r="O274" s="20">
        <f t="shared" si="28"/>
        <v>10.96</v>
      </c>
      <c r="P274">
        <f t="shared" si="29"/>
        <v>1331.2165263157895</v>
      </c>
    </row>
    <row r="275" spans="1:16">
      <c r="A275" t="s">
        <v>280</v>
      </c>
      <c r="B275" t="s">
        <v>512</v>
      </c>
      <c r="C275" s="14">
        <v>0.25</v>
      </c>
      <c r="D275">
        <v>500</v>
      </c>
      <c r="E275" s="26">
        <v>1.49</v>
      </c>
      <c r="F275">
        <v>790</v>
      </c>
      <c r="G275" s="27">
        <v>22.8</v>
      </c>
      <c r="H275" s="24">
        <f t="shared" si="24"/>
        <v>22.502443855498402</v>
      </c>
      <c r="I275" s="25">
        <f t="shared" si="25"/>
        <v>0.24964907626494151</v>
      </c>
      <c r="J275" s="24">
        <f t="shared" si="26"/>
        <v>2.2204208406851746E-2</v>
      </c>
      <c r="K275" s="14">
        <v>0.51</v>
      </c>
      <c r="L275" s="27">
        <v>2.65</v>
      </c>
      <c r="M275" s="27">
        <v>1.94</v>
      </c>
      <c r="N275" s="4">
        <f t="shared" si="27"/>
        <v>1.365979381443299</v>
      </c>
      <c r="O275" s="20">
        <f t="shared" si="28"/>
        <v>10.6</v>
      </c>
      <c r="P275">
        <f t="shared" si="29"/>
        <v>1277.9732982456139</v>
      </c>
    </row>
    <row r="276" spans="1:16">
      <c r="A276" t="s">
        <v>281</v>
      </c>
      <c r="B276" t="s">
        <v>512</v>
      </c>
      <c r="C276" s="14">
        <v>0.25</v>
      </c>
      <c r="D276">
        <v>250</v>
      </c>
      <c r="E276" s="26">
        <v>1.49</v>
      </c>
      <c r="F276">
        <v>790</v>
      </c>
      <c r="G276" s="27">
        <v>22.8</v>
      </c>
      <c r="H276" s="24">
        <f t="shared" ref="H276:H339" si="30">(4/60*F276*D276*10^(-9))/(PI()*C276*E276*10^(-6))</f>
        <v>11.251221927749201</v>
      </c>
      <c r="I276" s="25">
        <f t="shared" ref="I276:I339" si="31">(16 * F276 * (D276 * 10^-9 / 60)^2) / (PI()^2 * (C276 * 10^-3)^3 * (G276 * 10^-3))</f>
        <v>6.2412269066235378E-2</v>
      </c>
      <c r="J276" s="24">
        <f t="shared" si="26"/>
        <v>2.2204208406851746E-2</v>
      </c>
      <c r="K276" s="14">
        <v>0.51</v>
      </c>
      <c r="L276" s="27">
        <v>2.64</v>
      </c>
      <c r="M276" s="27">
        <v>1.96</v>
      </c>
      <c r="N276" s="4">
        <f t="shared" si="27"/>
        <v>1.3469387755102042</v>
      </c>
      <c r="O276" s="20">
        <f t="shared" si="28"/>
        <v>10.56</v>
      </c>
      <c r="P276">
        <f t="shared" si="29"/>
        <v>1304.4590877192979</v>
      </c>
    </row>
    <row r="277" spans="1:16">
      <c r="A277" t="s">
        <v>282</v>
      </c>
      <c r="B277" t="s">
        <v>512</v>
      </c>
      <c r="C277" s="14">
        <v>0.25</v>
      </c>
      <c r="D277">
        <v>100</v>
      </c>
      <c r="E277" s="26">
        <v>1.49</v>
      </c>
      <c r="F277">
        <v>790</v>
      </c>
      <c r="G277" s="27">
        <v>22.8</v>
      </c>
      <c r="H277" s="24">
        <f t="shared" si="30"/>
        <v>4.5004887710996808</v>
      </c>
      <c r="I277" s="25">
        <f t="shared" si="31"/>
        <v>9.9859630505976585E-3</v>
      </c>
      <c r="J277" s="24">
        <f t="shared" si="26"/>
        <v>2.2204208406851743E-2</v>
      </c>
      <c r="K277" s="14">
        <v>0.51</v>
      </c>
      <c r="L277" s="27">
        <v>2.64</v>
      </c>
      <c r="M277" s="27">
        <v>1.94</v>
      </c>
      <c r="N277" s="4">
        <f t="shared" si="27"/>
        <v>1.3608247422680413</v>
      </c>
      <c r="O277" s="20">
        <f t="shared" si="28"/>
        <v>10.56</v>
      </c>
      <c r="P277">
        <f t="shared" si="29"/>
        <v>1277.9732982456139</v>
      </c>
    </row>
    <row r="278" spans="1:16">
      <c r="A278" t="s">
        <v>283</v>
      </c>
      <c r="B278" t="s">
        <v>512</v>
      </c>
      <c r="C278" s="14">
        <v>0.1</v>
      </c>
      <c r="D278">
        <v>1000</v>
      </c>
      <c r="E278" s="26">
        <v>1.49</v>
      </c>
      <c r="F278">
        <v>790</v>
      </c>
      <c r="G278" s="27">
        <v>22.8</v>
      </c>
      <c r="H278" s="24">
        <f t="shared" si="30"/>
        <v>112.51221927749202</v>
      </c>
      <c r="I278" s="25">
        <f t="shared" si="31"/>
        <v>15.603067266558845</v>
      </c>
      <c r="J278" s="24">
        <f t="shared" si="26"/>
        <v>3.5107936103355102E-2</v>
      </c>
      <c r="K278" s="14">
        <v>0.24</v>
      </c>
      <c r="L278" s="27">
        <v>1.86</v>
      </c>
      <c r="M278" s="27">
        <v>1.58</v>
      </c>
      <c r="N278" s="4">
        <f t="shared" si="27"/>
        <v>1.1772151898734178</v>
      </c>
      <c r="O278" s="20">
        <f t="shared" si="28"/>
        <v>18.600000000000001</v>
      </c>
      <c r="P278">
        <f t="shared" si="29"/>
        <v>847.68108771929826</v>
      </c>
    </row>
    <row r="279" spans="1:16">
      <c r="A279" t="s">
        <v>284</v>
      </c>
      <c r="B279" t="s">
        <v>512</v>
      </c>
      <c r="C279" s="14">
        <v>0.1</v>
      </c>
      <c r="D279">
        <v>750</v>
      </c>
      <c r="E279" s="26">
        <v>1.49</v>
      </c>
      <c r="F279">
        <v>790</v>
      </c>
      <c r="G279" s="27">
        <v>22.8</v>
      </c>
      <c r="H279" s="24">
        <f t="shared" si="30"/>
        <v>84.384164458119017</v>
      </c>
      <c r="I279" s="25">
        <f t="shared" si="31"/>
        <v>8.7767253374393484</v>
      </c>
      <c r="J279" s="24">
        <f t="shared" si="26"/>
        <v>3.5107936103355095E-2</v>
      </c>
      <c r="K279" s="14">
        <v>0.24</v>
      </c>
      <c r="L279" s="27">
        <v>1.8</v>
      </c>
      <c r="M279" s="27">
        <v>1.52</v>
      </c>
      <c r="N279" s="4">
        <f t="shared" si="27"/>
        <v>1.1842105263157894</v>
      </c>
      <c r="O279" s="20">
        <f t="shared" si="28"/>
        <v>18</v>
      </c>
      <c r="P279">
        <f t="shared" si="29"/>
        <v>784.52266666666662</v>
      </c>
    </row>
    <row r="280" spans="1:16">
      <c r="A280" t="s">
        <v>285</v>
      </c>
      <c r="B280" t="s">
        <v>512</v>
      </c>
      <c r="C280" s="14">
        <v>0.1</v>
      </c>
      <c r="D280">
        <v>500</v>
      </c>
      <c r="E280" s="26">
        <v>1.49</v>
      </c>
      <c r="F280">
        <v>790</v>
      </c>
      <c r="G280" s="27">
        <v>22.8</v>
      </c>
      <c r="H280" s="24">
        <f t="shared" si="30"/>
        <v>56.256109638746011</v>
      </c>
      <c r="I280" s="25">
        <f t="shared" si="31"/>
        <v>3.9007668166397114</v>
      </c>
      <c r="J280" s="24">
        <f t="shared" si="26"/>
        <v>3.5107936103355102E-2</v>
      </c>
      <c r="K280" s="14">
        <v>0.24</v>
      </c>
      <c r="L280" s="27">
        <v>1.83</v>
      </c>
      <c r="M280" s="27">
        <v>1.52</v>
      </c>
      <c r="N280" s="4">
        <f t="shared" si="27"/>
        <v>1.2039473684210527</v>
      </c>
      <c r="O280" s="20">
        <f t="shared" si="28"/>
        <v>18.3</v>
      </c>
      <c r="P280">
        <f t="shared" si="29"/>
        <v>784.52266666666662</v>
      </c>
    </row>
    <row r="281" spans="1:16">
      <c r="A281" t="s">
        <v>286</v>
      </c>
      <c r="B281" t="s">
        <v>512</v>
      </c>
      <c r="C281" s="14">
        <v>0.1</v>
      </c>
      <c r="D281">
        <v>250</v>
      </c>
      <c r="E281" s="26">
        <v>1.49</v>
      </c>
      <c r="F281">
        <v>790</v>
      </c>
      <c r="G281" s="27">
        <v>22.8</v>
      </c>
      <c r="H281" s="24">
        <f t="shared" si="30"/>
        <v>28.128054819373006</v>
      </c>
      <c r="I281" s="25">
        <f t="shared" si="31"/>
        <v>0.97519170415992784</v>
      </c>
      <c r="J281" s="24">
        <f t="shared" si="26"/>
        <v>3.5107936103355102E-2</v>
      </c>
      <c r="K281" s="14">
        <v>0.24</v>
      </c>
      <c r="L281" s="27">
        <v>1.84</v>
      </c>
      <c r="M281" s="27">
        <v>1.57</v>
      </c>
      <c r="N281" s="4">
        <f t="shared" si="27"/>
        <v>1.1719745222929936</v>
      </c>
      <c r="O281" s="20">
        <f t="shared" si="28"/>
        <v>18.399999999999999</v>
      </c>
      <c r="P281">
        <f t="shared" si="29"/>
        <v>836.98490350877205</v>
      </c>
    </row>
    <row r="282" spans="1:16">
      <c r="A282" t="s">
        <v>287</v>
      </c>
      <c r="B282" t="s">
        <v>512</v>
      </c>
      <c r="C282" s="14">
        <v>0.1</v>
      </c>
      <c r="D282">
        <v>100</v>
      </c>
      <c r="E282" s="26">
        <v>1.49</v>
      </c>
      <c r="F282">
        <v>790</v>
      </c>
      <c r="G282" s="27">
        <v>22.8</v>
      </c>
      <c r="H282" s="24">
        <f t="shared" si="30"/>
        <v>11.251221927749201</v>
      </c>
      <c r="I282" s="25">
        <f t="shared" si="31"/>
        <v>0.15603067266558843</v>
      </c>
      <c r="J282" s="24">
        <f t="shared" si="26"/>
        <v>3.5107936103355102E-2</v>
      </c>
      <c r="K282" s="14">
        <v>0.24</v>
      </c>
      <c r="L282" s="27">
        <v>1.84</v>
      </c>
      <c r="M282" s="27">
        <v>1.56</v>
      </c>
      <c r="N282" s="4">
        <f t="shared" si="27"/>
        <v>1.1794871794871795</v>
      </c>
      <c r="O282" s="20">
        <f t="shared" si="28"/>
        <v>18.399999999999999</v>
      </c>
      <c r="P282">
        <f t="shared" si="29"/>
        <v>826.35663157894749</v>
      </c>
    </row>
    <row r="283" spans="1:16">
      <c r="A283" t="s">
        <v>288</v>
      </c>
      <c r="B283" t="s">
        <v>515</v>
      </c>
      <c r="C283" s="14">
        <v>2.38</v>
      </c>
      <c r="D283">
        <v>1000</v>
      </c>
      <c r="E283" s="26">
        <v>1.5960000000000001</v>
      </c>
      <c r="F283">
        <v>811.3</v>
      </c>
      <c r="G283" s="27">
        <v>23.9</v>
      </c>
      <c r="H283" s="24">
        <f t="shared" si="30"/>
        <v>4.5324236828224169</v>
      </c>
      <c r="I283" s="25">
        <f t="shared" si="31"/>
        <v>1.1338887341887339E-3</v>
      </c>
      <c r="J283" s="24">
        <f t="shared" si="26"/>
        <v>7.4294167401741402E-3</v>
      </c>
      <c r="K283" s="14">
        <v>2.8</v>
      </c>
      <c r="L283" s="27">
        <v>9.4600000000000009</v>
      </c>
      <c r="M283" s="27">
        <v>3.09</v>
      </c>
      <c r="N283" s="4">
        <f t="shared" si="27"/>
        <v>3.0614886731391588</v>
      </c>
      <c r="O283" s="20">
        <f t="shared" si="28"/>
        <v>3.9747899159663871</v>
      </c>
      <c r="P283">
        <f t="shared" si="29"/>
        <v>3176.33726334728</v>
      </c>
    </row>
    <row r="284" spans="1:16">
      <c r="A284" t="s">
        <v>289</v>
      </c>
      <c r="B284" t="s">
        <v>515</v>
      </c>
      <c r="C284" s="14">
        <v>2.38</v>
      </c>
      <c r="D284">
        <v>750</v>
      </c>
      <c r="E284" s="26">
        <v>1.5960000000000001</v>
      </c>
      <c r="F284">
        <v>811.3</v>
      </c>
      <c r="G284" s="27">
        <v>23.9</v>
      </c>
      <c r="H284" s="24">
        <f t="shared" si="30"/>
        <v>3.3993177621168127</v>
      </c>
      <c r="I284" s="25">
        <f t="shared" si="31"/>
        <v>6.3781241298116269E-4</v>
      </c>
      <c r="J284" s="24">
        <f t="shared" si="26"/>
        <v>7.4294167401741393E-3</v>
      </c>
      <c r="K284" s="14">
        <v>2.8</v>
      </c>
      <c r="L284" s="27">
        <v>9.41</v>
      </c>
      <c r="M284" s="27">
        <v>3.09</v>
      </c>
      <c r="N284" s="4">
        <f t="shared" si="27"/>
        <v>3.0453074433656959</v>
      </c>
      <c r="O284" s="20">
        <f t="shared" si="28"/>
        <v>3.9537815126050422</v>
      </c>
      <c r="P284">
        <f t="shared" si="29"/>
        <v>3176.33726334728</v>
      </c>
    </row>
    <row r="285" spans="1:16">
      <c r="A285" t="s">
        <v>290</v>
      </c>
      <c r="B285" t="s">
        <v>514</v>
      </c>
      <c r="C285" s="14">
        <v>2.38</v>
      </c>
      <c r="D285">
        <v>500</v>
      </c>
      <c r="E285" s="26">
        <v>1.5960000000000001</v>
      </c>
      <c r="F285">
        <v>811.3</v>
      </c>
      <c r="G285" s="27">
        <v>23.9</v>
      </c>
      <c r="H285" s="24">
        <f t="shared" si="30"/>
        <v>2.2662118414112085</v>
      </c>
      <c r="I285" s="25">
        <f t="shared" si="31"/>
        <v>2.8347218354718347E-4</v>
      </c>
      <c r="J285" s="24">
        <f t="shared" si="26"/>
        <v>7.4294167401741402E-3</v>
      </c>
      <c r="K285" s="14">
        <v>2.8</v>
      </c>
      <c r="L285" s="27">
        <v>9.4600000000000009</v>
      </c>
      <c r="M285" s="27">
        <v>3.11</v>
      </c>
      <c r="N285" s="4">
        <f t="shared" si="27"/>
        <v>3.041800643086817</v>
      </c>
      <c r="O285" s="20">
        <f t="shared" si="28"/>
        <v>3.9747899159663871</v>
      </c>
      <c r="P285">
        <f t="shared" si="29"/>
        <v>3217.5879646025101</v>
      </c>
    </row>
    <row r="286" spans="1:16">
      <c r="A286" t="s">
        <v>291</v>
      </c>
      <c r="B286" t="s">
        <v>514</v>
      </c>
      <c r="C286" s="14">
        <v>2.38</v>
      </c>
      <c r="D286">
        <v>250</v>
      </c>
      <c r="E286" s="26">
        <v>1.5960000000000001</v>
      </c>
      <c r="F286">
        <v>811.3</v>
      </c>
      <c r="G286" s="27">
        <v>23.9</v>
      </c>
      <c r="H286" s="24">
        <f t="shared" si="30"/>
        <v>1.1331059207056042</v>
      </c>
      <c r="I286" s="25">
        <f t="shared" si="31"/>
        <v>7.0868045886795868E-5</v>
      </c>
      <c r="J286" s="24">
        <f t="shared" si="26"/>
        <v>7.4294167401741402E-3</v>
      </c>
      <c r="K286" s="14">
        <v>2.8</v>
      </c>
      <c r="L286" s="27">
        <v>9.4700000000000006</v>
      </c>
      <c r="M286" s="27">
        <v>3.09</v>
      </c>
      <c r="N286" s="4">
        <f t="shared" si="27"/>
        <v>3.0647249190938517</v>
      </c>
      <c r="O286" s="20">
        <f t="shared" si="28"/>
        <v>3.978991596638656</v>
      </c>
      <c r="P286">
        <f t="shared" si="29"/>
        <v>3176.33726334728</v>
      </c>
    </row>
    <row r="287" spans="1:16">
      <c r="A287" t="s">
        <v>292</v>
      </c>
      <c r="B287" t="s">
        <v>514</v>
      </c>
      <c r="C287" s="14">
        <v>2.38</v>
      </c>
      <c r="D287">
        <v>100</v>
      </c>
      <c r="E287" s="26">
        <v>1.5960000000000001</v>
      </c>
      <c r="F287">
        <v>811.3</v>
      </c>
      <c r="G287" s="27">
        <v>23.9</v>
      </c>
      <c r="H287" s="24">
        <f t="shared" si="30"/>
        <v>0.45324236828224174</v>
      </c>
      <c r="I287" s="25">
        <f t="shared" si="31"/>
        <v>1.1338887341887338E-5</v>
      </c>
      <c r="J287" s="24">
        <f t="shared" si="26"/>
        <v>7.4294167401741393E-3</v>
      </c>
      <c r="K287" s="14">
        <v>2.8</v>
      </c>
      <c r="L287" s="27">
        <v>9.4499999999999993</v>
      </c>
      <c r="M287" s="27">
        <v>3.1</v>
      </c>
      <c r="N287" s="4">
        <f t="shared" si="27"/>
        <v>3.0483870967741931</v>
      </c>
      <c r="O287" s="20">
        <f t="shared" si="28"/>
        <v>3.9705882352941173</v>
      </c>
      <c r="P287">
        <f t="shared" si="29"/>
        <v>3196.9293472803352</v>
      </c>
    </row>
    <row r="288" spans="1:16">
      <c r="A288" t="s">
        <v>293</v>
      </c>
      <c r="B288" t="s">
        <v>514</v>
      </c>
      <c r="C288" s="14">
        <v>1.79</v>
      </c>
      <c r="D288">
        <v>1000</v>
      </c>
      <c r="E288" s="26">
        <v>1.5960000000000001</v>
      </c>
      <c r="F288">
        <v>811.3</v>
      </c>
      <c r="G288" s="27">
        <v>23.9</v>
      </c>
      <c r="H288" s="24">
        <f t="shared" si="30"/>
        <v>6.0263510419649995</v>
      </c>
      <c r="I288" s="25">
        <f t="shared" si="31"/>
        <v>2.6652761839071784E-3</v>
      </c>
      <c r="J288" s="24">
        <f t="shared" si="26"/>
        <v>8.5667616345279501E-3</v>
      </c>
      <c r="K288" s="14">
        <v>2.4</v>
      </c>
      <c r="L288" s="27">
        <v>8.58</v>
      </c>
      <c r="M288" s="27">
        <v>2.96</v>
      </c>
      <c r="N288" s="4">
        <f t="shared" si="27"/>
        <v>2.8986486486486487</v>
      </c>
      <c r="O288" s="20">
        <f t="shared" si="28"/>
        <v>4.7932960893854748</v>
      </c>
      <c r="P288">
        <f t="shared" si="29"/>
        <v>2914.6947106276152</v>
      </c>
    </row>
    <row r="289" spans="1:16">
      <c r="A289" t="s">
        <v>294</v>
      </c>
      <c r="B289" t="s">
        <v>514</v>
      </c>
      <c r="C289" s="14">
        <v>1.79</v>
      </c>
      <c r="D289">
        <v>750</v>
      </c>
      <c r="E289" s="26">
        <v>1.5960000000000001</v>
      </c>
      <c r="F289">
        <v>811.3</v>
      </c>
      <c r="G289" s="27">
        <v>23.9</v>
      </c>
      <c r="H289" s="24">
        <f t="shared" si="30"/>
        <v>4.5197632814737494</v>
      </c>
      <c r="I289" s="25">
        <f t="shared" si="31"/>
        <v>1.4992178534477877E-3</v>
      </c>
      <c r="J289" s="24">
        <f t="shared" si="26"/>
        <v>8.5667616345279501E-3</v>
      </c>
      <c r="K289" s="14">
        <v>2.4</v>
      </c>
      <c r="L289" s="27">
        <v>8.5</v>
      </c>
      <c r="M289" s="27">
        <v>2.97</v>
      </c>
      <c r="N289" s="4">
        <f t="shared" si="27"/>
        <v>2.8619528619528616</v>
      </c>
      <c r="O289" s="20">
        <f t="shared" si="28"/>
        <v>4.7486033519553068</v>
      </c>
      <c r="P289">
        <f t="shared" si="29"/>
        <v>2934.4218605020928</v>
      </c>
    </row>
    <row r="290" spans="1:16">
      <c r="A290" t="s">
        <v>295</v>
      </c>
      <c r="B290" t="s">
        <v>514</v>
      </c>
      <c r="C290" s="14">
        <v>1.79</v>
      </c>
      <c r="D290">
        <v>500</v>
      </c>
      <c r="E290" s="26">
        <v>1.5960000000000001</v>
      </c>
      <c r="F290">
        <v>811.3</v>
      </c>
      <c r="G290" s="27">
        <v>23.9</v>
      </c>
      <c r="H290" s="24">
        <f t="shared" si="30"/>
        <v>3.0131755209824997</v>
      </c>
      <c r="I290" s="25">
        <f t="shared" si="31"/>
        <v>6.663190459767946E-4</v>
      </c>
      <c r="J290" s="24">
        <f t="shared" si="26"/>
        <v>8.5667616345279501E-3</v>
      </c>
      <c r="K290" s="14">
        <v>2.4</v>
      </c>
      <c r="L290" s="27">
        <v>8.4</v>
      </c>
      <c r="M290" s="27">
        <v>2.94</v>
      </c>
      <c r="N290" s="4">
        <f t="shared" si="27"/>
        <v>2.8571428571428572</v>
      </c>
      <c r="O290" s="20">
        <f t="shared" si="28"/>
        <v>4.6927374301675977</v>
      </c>
      <c r="P290">
        <f t="shared" si="29"/>
        <v>2875.4400110460247</v>
      </c>
    </row>
    <row r="291" spans="1:16">
      <c r="A291" t="s">
        <v>296</v>
      </c>
      <c r="B291" t="s">
        <v>514</v>
      </c>
      <c r="C291" s="14">
        <v>1.79</v>
      </c>
      <c r="D291">
        <v>250</v>
      </c>
      <c r="E291" s="26">
        <v>1.5960000000000001</v>
      </c>
      <c r="F291">
        <v>811.3</v>
      </c>
      <c r="G291" s="27">
        <v>23.9</v>
      </c>
      <c r="H291" s="24">
        <f t="shared" si="30"/>
        <v>1.5065877604912499</v>
      </c>
      <c r="I291" s="25">
        <f t="shared" si="31"/>
        <v>1.6657976149419865E-4</v>
      </c>
      <c r="J291" s="24">
        <f t="shared" si="26"/>
        <v>8.5667616345279501E-3</v>
      </c>
      <c r="K291" s="14">
        <v>2.4</v>
      </c>
      <c r="L291" s="27">
        <v>8.2899999999999991</v>
      </c>
      <c r="M291" s="27">
        <v>2.95</v>
      </c>
      <c r="N291" s="4">
        <f t="shared" si="27"/>
        <v>2.8101694915254232</v>
      </c>
      <c r="O291" s="20">
        <f t="shared" si="28"/>
        <v>4.6312849162011167</v>
      </c>
      <c r="P291">
        <f t="shared" si="29"/>
        <v>2895.0340941422601</v>
      </c>
    </row>
    <row r="292" spans="1:16">
      <c r="A292" t="s">
        <v>297</v>
      </c>
      <c r="B292" t="s">
        <v>514</v>
      </c>
      <c r="C292" s="14">
        <v>1.79</v>
      </c>
      <c r="D292">
        <v>100</v>
      </c>
      <c r="E292" s="26">
        <v>1.5960000000000001</v>
      </c>
      <c r="F292">
        <v>811.3</v>
      </c>
      <c r="G292" s="27">
        <v>23.9</v>
      </c>
      <c r="H292" s="24">
        <f t="shared" si="30"/>
        <v>0.60263510419650002</v>
      </c>
      <c r="I292" s="25">
        <f t="shared" si="31"/>
        <v>2.6652761839071779E-5</v>
      </c>
      <c r="J292" s="24">
        <f t="shared" si="26"/>
        <v>8.5667616345279484E-3</v>
      </c>
      <c r="K292" s="14">
        <v>2.4</v>
      </c>
      <c r="L292" s="27">
        <v>8.09</v>
      </c>
      <c r="M292" s="27">
        <v>2.91</v>
      </c>
      <c r="N292" s="4">
        <f t="shared" si="27"/>
        <v>2.7800687285223367</v>
      </c>
      <c r="O292" s="20">
        <f t="shared" si="28"/>
        <v>4.5195530726256985</v>
      </c>
      <c r="P292">
        <f t="shared" si="29"/>
        <v>2817.056962092051</v>
      </c>
    </row>
    <row r="293" spans="1:16">
      <c r="A293" t="s">
        <v>298</v>
      </c>
      <c r="B293" t="s">
        <v>514</v>
      </c>
      <c r="C293" s="14">
        <v>1.37</v>
      </c>
      <c r="D293">
        <v>1000</v>
      </c>
      <c r="E293" s="26">
        <v>1.5960000000000001</v>
      </c>
      <c r="F293">
        <v>811.3</v>
      </c>
      <c r="G293" s="27">
        <v>23.9</v>
      </c>
      <c r="H293" s="24">
        <f t="shared" si="30"/>
        <v>7.8738455219834664</v>
      </c>
      <c r="I293" s="25">
        <f t="shared" si="31"/>
        <v>5.9448323288688919E-3</v>
      </c>
      <c r="J293" s="24">
        <f t="shared" si="26"/>
        <v>9.7922595222890065E-3</v>
      </c>
      <c r="K293" s="14">
        <v>1.8</v>
      </c>
      <c r="L293" s="27">
        <v>6.79</v>
      </c>
      <c r="M293" s="27">
        <v>2.72</v>
      </c>
      <c r="N293" s="4">
        <f t="shared" si="27"/>
        <v>2.4963235294117645</v>
      </c>
      <c r="O293" s="20">
        <f t="shared" si="28"/>
        <v>4.9562043795620436</v>
      </c>
      <c r="P293">
        <f t="shared" si="29"/>
        <v>2461.2031303765693</v>
      </c>
    </row>
    <row r="294" spans="1:16">
      <c r="A294" t="s">
        <v>299</v>
      </c>
      <c r="B294" t="s">
        <v>514</v>
      </c>
      <c r="C294" s="14">
        <v>1.37</v>
      </c>
      <c r="D294">
        <v>750</v>
      </c>
      <c r="E294" s="26">
        <v>1.5960000000000001</v>
      </c>
      <c r="F294">
        <v>811.3</v>
      </c>
      <c r="G294" s="27">
        <v>23.9</v>
      </c>
      <c r="H294" s="24">
        <f t="shared" si="30"/>
        <v>5.9053841414876</v>
      </c>
      <c r="I294" s="25">
        <f t="shared" si="31"/>
        <v>3.3439681849887514E-3</v>
      </c>
      <c r="J294" s="24">
        <f t="shared" ref="J294:J357" si="32">SQRT(I294)/H294</f>
        <v>9.7922595222890048E-3</v>
      </c>
      <c r="K294" s="14">
        <v>1.8</v>
      </c>
      <c r="L294" s="27">
        <v>6.97</v>
      </c>
      <c r="M294" s="27">
        <v>2.71</v>
      </c>
      <c r="N294" s="4">
        <f t="shared" ref="N294:N357" si="33">L294/M294</f>
        <v>2.5719557195571956</v>
      </c>
      <c r="O294" s="20">
        <f t="shared" ref="O294:O357" si="34">L294/C294</f>
        <v>5.0875912408759119</v>
      </c>
      <c r="P294">
        <f t="shared" si="29"/>
        <v>2443.1393152301257</v>
      </c>
    </row>
    <row r="295" spans="1:16">
      <c r="A295" t="s">
        <v>300</v>
      </c>
      <c r="B295" t="s">
        <v>514</v>
      </c>
      <c r="C295" s="14">
        <v>1.37</v>
      </c>
      <c r="D295">
        <v>500</v>
      </c>
      <c r="E295" s="26">
        <v>1.5960000000000001</v>
      </c>
      <c r="F295">
        <v>811.3</v>
      </c>
      <c r="G295" s="27">
        <v>23.9</v>
      </c>
      <c r="H295" s="24">
        <f t="shared" si="30"/>
        <v>3.9369227609917332</v>
      </c>
      <c r="I295" s="25">
        <f t="shared" si="31"/>
        <v>1.486208082217223E-3</v>
      </c>
      <c r="J295" s="24">
        <f t="shared" si="32"/>
        <v>9.7922595222890065E-3</v>
      </c>
      <c r="K295" s="14">
        <v>1.8</v>
      </c>
      <c r="L295" s="27">
        <v>6.92</v>
      </c>
      <c r="M295" s="27">
        <v>2.73</v>
      </c>
      <c r="N295" s="4">
        <f t="shared" si="33"/>
        <v>2.5347985347985347</v>
      </c>
      <c r="O295" s="20">
        <f t="shared" si="34"/>
        <v>5.0510948905109485</v>
      </c>
      <c r="P295">
        <f t="shared" si="29"/>
        <v>2479.3334789121336</v>
      </c>
    </row>
    <row r="296" spans="1:16">
      <c r="A296" t="s">
        <v>301</v>
      </c>
      <c r="B296" t="s">
        <v>514</v>
      </c>
      <c r="C296" s="14">
        <v>1.37</v>
      </c>
      <c r="D296">
        <v>250</v>
      </c>
      <c r="E296" s="26">
        <v>1.5960000000000001</v>
      </c>
      <c r="F296">
        <v>811.3</v>
      </c>
      <c r="G296" s="27">
        <v>23.9</v>
      </c>
      <c r="H296" s="24">
        <f t="shared" si="30"/>
        <v>1.9684613804958666</v>
      </c>
      <c r="I296" s="25">
        <f t="shared" si="31"/>
        <v>3.7155202055430574E-4</v>
      </c>
      <c r="J296" s="24">
        <f t="shared" si="32"/>
        <v>9.7922595222890065E-3</v>
      </c>
      <c r="K296" s="14">
        <v>1.8</v>
      </c>
      <c r="L296" s="27">
        <v>6.45</v>
      </c>
      <c r="M296" s="27">
        <v>2.73</v>
      </c>
      <c r="N296" s="4">
        <f t="shared" si="33"/>
        <v>2.3626373626373627</v>
      </c>
      <c r="O296" s="20">
        <f t="shared" si="34"/>
        <v>4.7080291970802914</v>
      </c>
      <c r="P296">
        <f t="shared" si="29"/>
        <v>2479.3334789121336</v>
      </c>
    </row>
    <row r="297" spans="1:16">
      <c r="A297" t="s">
        <v>302</v>
      </c>
      <c r="B297" t="s">
        <v>514</v>
      </c>
      <c r="C297" s="14">
        <v>1.37</v>
      </c>
      <c r="D297">
        <v>100</v>
      </c>
      <c r="E297" s="26">
        <v>1.5960000000000001</v>
      </c>
      <c r="F297">
        <v>811.3</v>
      </c>
      <c r="G297" s="27">
        <v>23.9</v>
      </c>
      <c r="H297" s="24">
        <f t="shared" si="30"/>
        <v>0.78738455219834669</v>
      </c>
      <c r="I297" s="25">
        <f t="shared" si="31"/>
        <v>5.9448323288688914E-5</v>
      </c>
      <c r="J297" s="24">
        <f t="shared" si="32"/>
        <v>9.7922595222890048E-3</v>
      </c>
      <c r="K297" s="14">
        <v>1.8</v>
      </c>
      <c r="L297" s="27">
        <v>6.43</v>
      </c>
      <c r="M297" s="27">
        <v>2.76</v>
      </c>
      <c r="N297" s="4">
        <f t="shared" si="33"/>
        <v>2.3297101449275361</v>
      </c>
      <c r="O297" s="20">
        <f t="shared" si="34"/>
        <v>4.6934306569343063</v>
      </c>
      <c r="P297">
        <f t="shared" si="29"/>
        <v>2534.1237248535563</v>
      </c>
    </row>
    <row r="298" spans="1:16">
      <c r="A298" t="s">
        <v>303</v>
      </c>
      <c r="B298" t="s">
        <v>514</v>
      </c>
      <c r="C298" s="14">
        <v>0.83</v>
      </c>
      <c r="D298">
        <v>1000</v>
      </c>
      <c r="E298" s="26">
        <v>1.5960000000000001</v>
      </c>
      <c r="F298">
        <v>811.3</v>
      </c>
      <c r="G298" s="27">
        <v>23.9</v>
      </c>
      <c r="H298" s="24">
        <f t="shared" si="30"/>
        <v>12.996588391707652</v>
      </c>
      <c r="I298" s="25">
        <f t="shared" si="31"/>
        <v>2.6734190254997084E-2</v>
      </c>
      <c r="J298" s="24">
        <f t="shared" si="32"/>
        <v>1.25806810576676E-2</v>
      </c>
      <c r="K298" s="14">
        <v>1.27</v>
      </c>
      <c r="L298" s="27">
        <v>5.1100000000000003</v>
      </c>
      <c r="M298" s="27">
        <v>2.5099999999999998</v>
      </c>
      <c r="N298" s="4">
        <f t="shared" si="33"/>
        <v>2.0358565737051797</v>
      </c>
      <c r="O298" s="20">
        <f t="shared" si="34"/>
        <v>6.1566265060240974</v>
      </c>
      <c r="P298">
        <f t="shared" si="29"/>
        <v>2095.835024016736</v>
      </c>
    </row>
    <row r="299" spans="1:16">
      <c r="A299" t="s">
        <v>304</v>
      </c>
      <c r="B299" t="s">
        <v>514</v>
      </c>
      <c r="C299" s="14">
        <v>0.83</v>
      </c>
      <c r="D299">
        <v>750</v>
      </c>
      <c r="E299" s="26">
        <v>1.5960000000000001</v>
      </c>
      <c r="F299">
        <v>811.3</v>
      </c>
      <c r="G299" s="27">
        <v>23.9</v>
      </c>
      <c r="H299" s="24">
        <f t="shared" si="30"/>
        <v>9.7474412937807404</v>
      </c>
      <c r="I299" s="25">
        <f t="shared" si="31"/>
        <v>1.5037982018435857E-2</v>
      </c>
      <c r="J299" s="24">
        <f t="shared" si="32"/>
        <v>1.2580681057667598E-2</v>
      </c>
      <c r="K299" s="14">
        <v>1.27</v>
      </c>
      <c r="L299" s="27">
        <v>5.12</v>
      </c>
      <c r="M299" s="27">
        <v>2.4900000000000002</v>
      </c>
      <c r="N299" s="4">
        <f t="shared" si="33"/>
        <v>2.0562248995983934</v>
      </c>
      <c r="O299" s="20">
        <f t="shared" si="34"/>
        <v>6.168674698795181</v>
      </c>
      <c r="P299">
        <f t="shared" si="29"/>
        <v>2062.5683294560677</v>
      </c>
    </row>
    <row r="300" spans="1:16">
      <c r="A300" t="s">
        <v>305</v>
      </c>
      <c r="B300" t="s">
        <v>514</v>
      </c>
      <c r="C300" s="14">
        <v>0.83</v>
      </c>
      <c r="D300">
        <v>500</v>
      </c>
      <c r="E300" s="26">
        <v>1.5960000000000001</v>
      </c>
      <c r="F300">
        <v>811.3</v>
      </c>
      <c r="G300" s="27">
        <v>23.9</v>
      </c>
      <c r="H300" s="24">
        <f t="shared" si="30"/>
        <v>6.4982941958538261</v>
      </c>
      <c r="I300" s="25">
        <f t="shared" si="31"/>
        <v>6.683547563749271E-3</v>
      </c>
      <c r="J300" s="24">
        <f t="shared" si="32"/>
        <v>1.25806810576676E-2</v>
      </c>
      <c r="K300" s="14">
        <v>1.27</v>
      </c>
      <c r="L300" s="27">
        <v>4.95</v>
      </c>
      <c r="M300" s="27">
        <v>2.48</v>
      </c>
      <c r="N300" s="4">
        <f t="shared" si="33"/>
        <v>1.995967741935484</v>
      </c>
      <c r="O300" s="20">
        <f t="shared" si="34"/>
        <v>5.9638554216867474</v>
      </c>
      <c r="P300">
        <f t="shared" si="29"/>
        <v>2046.0347822594147</v>
      </c>
    </row>
    <row r="301" spans="1:16">
      <c r="A301" t="s">
        <v>306</v>
      </c>
      <c r="B301" t="s">
        <v>514</v>
      </c>
      <c r="C301" s="14">
        <v>0.83</v>
      </c>
      <c r="D301">
        <v>250</v>
      </c>
      <c r="E301" s="26">
        <v>1.5960000000000001</v>
      </c>
      <c r="F301">
        <v>811.3</v>
      </c>
      <c r="G301" s="27">
        <v>23.9</v>
      </c>
      <c r="H301" s="24">
        <f t="shared" si="30"/>
        <v>3.249147097926913</v>
      </c>
      <c r="I301" s="25">
        <f t="shared" si="31"/>
        <v>1.6708868909373177E-3</v>
      </c>
      <c r="J301" s="24">
        <f t="shared" si="32"/>
        <v>1.25806810576676E-2</v>
      </c>
      <c r="K301" s="14">
        <v>1.27</v>
      </c>
      <c r="L301" s="27">
        <v>5.03</v>
      </c>
      <c r="M301" s="27">
        <v>2.46</v>
      </c>
      <c r="N301" s="4">
        <f t="shared" si="33"/>
        <v>2.0447154471544717</v>
      </c>
      <c r="O301" s="20">
        <f t="shared" si="34"/>
        <v>6.0602409638554224</v>
      </c>
      <c r="P301">
        <f t="shared" si="29"/>
        <v>2013.1672880334729</v>
      </c>
    </row>
    <row r="302" spans="1:16">
      <c r="A302" t="s">
        <v>307</v>
      </c>
      <c r="B302" t="s">
        <v>514</v>
      </c>
      <c r="C302" s="14">
        <v>0.83</v>
      </c>
      <c r="D302">
        <v>100</v>
      </c>
      <c r="E302" s="26">
        <v>1.5960000000000001</v>
      </c>
      <c r="F302">
        <v>811.3</v>
      </c>
      <c r="G302" s="27">
        <v>23.9</v>
      </c>
      <c r="H302" s="24">
        <f t="shared" si="30"/>
        <v>1.2996588391707655</v>
      </c>
      <c r="I302" s="25">
        <f t="shared" si="31"/>
        <v>2.6734190254997078E-4</v>
      </c>
      <c r="J302" s="24">
        <f t="shared" si="32"/>
        <v>1.2580681057667598E-2</v>
      </c>
      <c r="K302" s="14">
        <v>1.27</v>
      </c>
      <c r="L302" s="27">
        <v>4.87</v>
      </c>
      <c r="M302" s="27">
        <v>2.44</v>
      </c>
      <c r="N302" s="4">
        <f t="shared" si="33"/>
        <v>1.9959016393442623</v>
      </c>
      <c r="O302" s="20">
        <f t="shared" si="34"/>
        <v>5.8674698795180724</v>
      </c>
      <c r="P302">
        <f t="shared" si="29"/>
        <v>1980.5659273640169</v>
      </c>
    </row>
    <row r="303" spans="1:16">
      <c r="A303" t="s">
        <v>308</v>
      </c>
      <c r="B303" t="s">
        <v>514</v>
      </c>
      <c r="C303" s="14">
        <v>0.25</v>
      </c>
      <c r="D303">
        <v>1000</v>
      </c>
      <c r="E303" s="26">
        <v>1.5960000000000001</v>
      </c>
      <c r="F303">
        <v>811.3</v>
      </c>
      <c r="G303" s="27">
        <v>23.9</v>
      </c>
      <c r="H303" s="24">
        <f t="shared" si="30"/>
        <v>43.148673460469411</v>
      </c>
      <c r="I303" s="25">
        <f t="shared" si="31"/>
        <v>0.97832079637337699</v>
      </c>
      <c r="J303" s="24">
        <f t="shared" si="32"/>
        <v>2.2923091831255901E-2</v>
      </c>
      <c r="K303" s="14">
        <v>0.51</v>
      </c>
      <c r="L303" s="27">
        <v>2.64</v>
      </c>
      <c r="M303" s="27">
        <v>1.93</v>
      </c>
      <c r="N303" s="4">
        <f t="shared" si="33"/>
        <v>1.367875647668394</v>
      </c>
      <c r="O303" s="20">
        <f t="shared" si="34"/>
        <v>10.56</v>
      </c>
      <c r="P303">
        <f t="shared" si="29"/>
        <v>1239.1511056903767</v>
      </c>
    </row>
    <row r="304" spans="1:16">
      <c r="A304" t="s">
        <v>309</v>
      </c>
      <c r="B304" t="s">
        <v>514</v>
      </c>
      <c r="C304" s="14">
        <v>0.25</v>
      </c>
      <c r="D304">
        <v>750</v>
      </c>
      <c r="E304" s="26">
        <v>1.5960000000000001</v>
      </c>
      <c r="F304">
        <v>811.3</v>
      </c>
      <c r="G304" s="27">
        <v>23.9</v>
      </c>
      <c r="H304" s="24">
        <f t="shared" si="30"/>
        <v>32.361505095352058</v>
      </c>
      <c r="I304" s="25">
        <f t="shared" si="31"/>
        <v>0.55030544796002445</v>
      </c>
      <c r="J304" s="24">
        <f t="shared" si="32"/>
        <v>2.2923091831255901E-2</v>
      </c>
      <c r="K304" s="14">
        <v>0.51</v>
      </c>
      <c r="L304" s="27">
        <v>2.69</v>
      </c>
      <c r="M304" s="27">
        <v>1.92</v>
      </c>
      <c r="N304" s="4">
        <f t="shared" si="33"/>
        <v>1.4010416666666667</v>
      </c>
      <c r="O304" s="20">
        <f t="shared" si="34"/>
        <v>10.76</v>
      </c>
      <c r="P304">
        <f t="shared" si="29"/>
        <v>1226.343428284519</v>
      </c>
    </row>
    <row r="305" spans="1:16">
      <c r="A305" t="s">
        <v>310</v>
      </c>
      <c r="B305" t="s">
        <v>514</v>
      </c>
      <c r="C305" s="14">
        <v>0.25</v>
      </c>
      <c r="D305">
        <v>500</v>
      </c>
      <c r="E305" s="26">
        <v>1.5960000000000001</v>
      </c>
      <c r="F305">
        <v>811.3</v>
      </c>
      <c r="G305" s="27">
        <v>23.9</v>
      </c>
      <c r="H305" s="24">
        <f t="shared" si="30"/>
        <v>21.574336730234705</v>
      </c>
      <c r="I305" s="25">
        <f t="shared" si="31"/>
        <v>0.24458019909334425</v>
      </c>
      <c r="J305" s="24">
        <f t="shared" si="32"/>
        <v>2.2923091831255901E-2</v>
      </c>
      <c r="K305" s="14">
        <v>0.51</v>
      </c>
      <c r="L305" s="27">
        <v>2.61</v>
      </c>
      <c r="M305" s="27">
        <v>1.91</v>
      </c>
      <c r="N305" s="4">
        <f t="shared" si="33"/>
        <v>1.3664921465968587</v>
      </c>
      <c r="O305" s="20">
        <f t="shared" si="34"/>
        <v>10.44</v>
      </c>
      <c r="P305">
        <f t="shared" si="29"/>
        <v>1213.6022842677824</v>
      </c>
    </row>
    <row r="306" spans="1:16">
      <c r="A306" t="s">
        <v>311</v>
      </c>
      <c r="B306" t="s">
        <v>514</v>
      </c>
      <c r="C306" s="14">
        <v>0.25</v>
      </c>
      <c r="D306">
        <v>250</v>
      </c>
      <c r="E306" s="26">
        <v>1.5960000000000001</v>
      </c>
      <c r="F306">
        <v>811.3</v>
      </c>
      <c r="G306" s="27">
        <v>23.9</v>
      </c>
      <c r="H306" s="24">
        <f t="shared" si="30"/>
        <v>10.787168365117353</v>
      </c>
      <c r="I306" s="25">
        <f t="shared" si="31"/>
        <v>6.1145049773336062E-2</v>
      </c>
      <c r="J306" s="24">
        <f t="shared" si="32"/>
        <v>2.2923091831255901E-2</v>
      </c>
      <c r="K306" s="14">
        <v>0.51</v>
      </c>
      <c r="L306" s="27">
        <v>2.64</v>
      </c>
      <c r="M306" s="27">
        <v>1.93</v>
      </c>
      <c r="N306" s="4">
        <f t="shared" si="33"/>
        <v>1.367875647668394</v>
      </c>
      <c r="O306" s="20">
        <f t="shared" si="34"/>
        <v>10.56</v>
      </c>
      <c r="P306">
        <f t="shared" si="29"/>
        <v>1239.1511056903767</v>
      </c>
    </row>
    <row r="307" spans="1:16">
      <c r="A307" t="s">
        <v>312</v>
      </c>
      <c r="B307" t="s">
        <v>514</v>
      </c>
      <c r="C307" s="14">
        <v>0.25</v>
      </c>
      <c r="D307">
        <v>100</v>
      </c>
      <c r="E307" s="26">
        <v>1.5960000000000001</v>
      </c>
      <c r="F307">
        <v>811.3</v>
      </c>
      <c r="G307" s="27">
        <v>23.9</v>
      </c>
      <c r="H307" s="24">
        <f t="shared" si="30"/>
        <v>4.3148673460469409</v>
      </c>
      <c r="I307" s="25">
        <f t="shared" si="31"/>
        <v>9.7832079637337685E-3</v>
      </c>
      <c r="J307" s="24">
        <f t="shared" si="32"/>
        <v>2.2923091831255901E-2</v>
      </c>
      <c r="K307" s="14">
        <v>0.51</v>
      </c>
      <c r="L307" s="27">
        <v>2.59</v>
      </c>
      <c r="M307" s="27">
        <v>1.89</v>
      </c>
      <c r="N307" s="4">
        <f t="shared" si="33"/>
        <v>1.3703703703703705</v>
      </c>
      <c r="O307" s="20">
        <f t="shared" si="34"/>
        <v>10.36</v>
      </c>
      <c r="P307">
        <f t="shared" si="29"/>
        <v>1188.3195964016734</v>
      </c>
    </row>
    <row r="308" spans="1:16">
      <c r="A308" t="s">
        <v>313</v>
      </c>
      <c r="B308" t="s">
        <v>514</v>
      </c>
      <c r="C308" s="14">
        <v>0.1</v>
      </c>
      <c r="D308">
        <v>1000</v>
      </c>
      <c r="E308" s="26">
        <v>1.5960000000000001</v>
      </c>
      <c r="F308">
        <v>811.3</v>
      </c>
      <c r="G308" s="27">
        <v>23.9</v>
      </c>
      <c r="H308" s="24">
        <f t="shared" si="30"/>
        <v>107.87168365117351</v>
      </c>
      <c r="I308" s="25">
        <f t="shared" si="31"/>
        <v>15.286262443334016</v>
      </c>
      <c r="J308" s="24">
        <f t="shared" si="32"/>
        <v>3.6244590599984403E-2</v>
      </c>
      <c r="K308" s="14">
        <v>0.24</v>
      </c>
      <c r="L308" s="27">
        <v>2.0099999999999998</v>
      </c>
      <c r="M308" s="27">
        <v>1.72</v>
      </c>
      <c r="N308" s="4">
        <f t="shared" si="33"/>
        <v>1.1686046511627906</v>
      </c>
      <c r="O308" s="20">
        <f t="shared" si="34"/>
        <v>20.099999999999998</v>
      </c>
      <c r="P308">
        <f t="shared" si="29"/>
        <v>984.16189188284534</v>
      </c>
    </row>
    <row r="309" spans="1:16">
      <c r="A309" t="s">
        <v>314</v>
      </c>
      <c r="B309" t="s">
        <v>514</v>
      </c>
      <c r="C309" s="14">
        <v>0.1</v>
      </c>
      <c r="D309">
        <v>750</v>
      </c>
      <c r="E309" s="26">
        <v>1.5960000000000001</v>
      </c>
      <c r="F309">
        <v>811.3</v>
      </c>
      <c r="G309" s="27">
        <v>23.9</v>
      </c>
      <c r="H309" s="24">
        <f t="shared" si="30"/>
        <v>80.903762738380138</v>
      </c>
      <c r="I309" s="25">
        <f t="shared" si="31"/>
        <v>8.5985226243753825</v>
      </c>
      <c r="J309" s="24">
        <f t="shared" si="32"/>
        <v>3.6244590599984403E-2</v>
      </c>
      <c r="K309" s="14">
        <v>0.24</v>
      </c>
      <c r="L309" s="27">
        <v>1.81</v>
      </c>
      <c r="M309" s="27">
        <v>1.54</v>
      </c>
      <c r="N309" s="4">
        <f t="shared" si="33"/>
        <v>1.1753246753246753</v>
      </c>
      <c r="O309" s="20">
        <f t="shared" si="34"/>
        <v>18.099999999999998</v>
      </c>
      <c r="P309">
        <f t="shared" si="29"/>
        <v>788.95292820083705</v>
      </c>
    </row>
    <row r="310" spans="1:16">
      <c r="A310" t="s">
        <v>315</v>
      </c>
      <c r="B310" t="s">
        <v>514</v>
      </c>
      <c r="C310" s="14">
        <v>0.1</v>
      </c>
      <c r="D310">
        <v>500</v>
      </c>
      <c r="E310" s="26">
        <v>1.5960000000000001</v>
      </c>
      <c r="F310">
        <v>811.3</v>
      </c>
      <c r="G310" s="27">
        <v>23.9</v>
      </c>
      <c r="H310" s="24">
        <f t="shared" si="30"/>
        <v>53.935841825586756</v>
      </c>
      <c r="I310" s="25">
        <f t="shared" si="31"/>
        <v>3.8215656108335039</v>
      </c>
      <c r="J310" s="24">
        <f t="shared" si="32"/>
        <v>3.6244590599984403E-2</v>
      </c>
      <c r="K310" s="14">
        <v>0.24</v>
      </c>
      <c r="L310" s="27">
        <v>1.96</v>
      </c>
      <c r="M310" s="27">
        <v>1.67</v>
      </c>
      <c r="N310" s="4">
        <f t="shared" si="33"/>
        <v>1.1736526946107784</v>
      </c>
      <c r="O310" s="20">
        <f t="shared" si="34"/>
        <v>19.599999999999998</v>
      </c>
      <c r="P310">
        <f t="shared" si="29"/>
        <v>927.77484460251048</v>
      </c>
    </row>
    <row r="311" spans="1:16">
      <c r="A311" t="s">
        <v>316</v>
      </c>
      <c r="B311" t="s">
        <v>514</v>
      </c>
      <c r="C311" s="14">
        <v>0.1</v>
      </c>
      <c r="D311">
        <v>250</v>
      </c>
      <c r="E311" s="26">
        <v>1.5960000000000001</v>
      </c>
      <c r="F311">
        <v>811.3</v>
      </c>
      <c r="G311" s="27">
        <v>23.9</v>
      </c>
      <c r="H311" s="24">
        <f t="shared" si="30"/>
        <v>26.967920912793378</v>
      </c>
      <c r="I311" s="25">
        <f t="shared" si="31"/>
        <v>0.95539140270837597</v>
      </c>
      <c r="J311" s="24">
        <f t="shared" si="32"/>
        <v>3.6244590599984403E-2</v>
      </c>
      <c r="K311" s="14">
        <v>0.24</v>
      </c>
      <c r="L311" s="27">
        <v>1.81</v>
      </c>
      <c r="M311" s="27">
        <v>1.53</v>
      </c>
      <c r="N311" s="4">
        <f t="shared" si="33"/>
        <v>1.1830065359477124</v>
      </c>
      <c r="O311" s="20">
        <f t="shared" si="34"/>
        <v>18.099999999999998</v>
      </c>
      <c r="P311">
        <f t="shared" si="29"/>
        <v>778.74005297071142</v>
      </c>
    </row>
    <row r="312" spans="1:16">
      <c r="A312" t="s">
        <v>317</v>
      </c>
      <c r="B312" t="s">
        <v>514</v>
      </c>
      <c r="C312" s="14">
        <v>0.1</v>
      </c>
      <c r="D312">
        <v>100</v>
      </c>
      <c r="E312" s="26">
        <v>1.5960000000000001</v>
      </c>
      <c r="F312">
        <v>811.3</v>
      </c>
      <c r="G312" s="27">
        <v>23.9</v>
      </c>
      <c r="H312" s="24">
        <f t="shared" si="30"/>
        <v>10.787168365117353</v>
      </c>
      <c r="I312" s="25">
        <f t="shared" si="31"/>
        <v>0.15286262443334014</v>
      </c>
      <c r="J312" s="24">
        <f t="shared" si="32"/>
        <v>3.6244590599984396E-2</v>
      </c>
      <c r="K312" s="14">
        <v>0.24</v>
      </c>
      <c r="L312" s="27">
        <v>1.85</v>
      </c>
      <c r="M312" s="27">
        <v>1.58</v>
      </c>
      <c r="N312" s="4">
        <f t="shared" si="33"/>
        <v>1.1708860759493671</v>
      </c>
      <c r="O312" s="20">
        <f t="shared" si="34"/>
        <v>18.5</v>
      </c>
      <c r="P312">
        <f t="shared" si="29"/>
        <v>830.46976301255245</v>
      </c>
    </row>
    <row r="313" spans="1:16">
      <c r="A313" t="s">
        <v>318</v>
      </c>
      <c r="B313" t="s">
        <v>517</v>
      </c>
      <c r="C313" s="14">
        <v>2.38</v>
      </c>
      <c r="D313">
        <v>1000</v>
      </c>
      <c r="E313" s="26">
        <v>2.3199999999999998</v>
      </c>
      <c r="F313">
        <v>826.7</v>
      </c>
      <c r="G313" s="27">
        <v>26.1</v>
      </c>
      <c r="H313" s="24">
        <f t="shared" si="30"/>
        <v>3.1771803210197507</v>
      </c>
      <c r="I313" s="25">
        <f t="shared" si="31"/>
        <v>1.0580210189897416E-3</v>
      </c>
      <c r="J313" s="24">
        <f t="shared" si="32"/>
        <v>1.0237768004323451E-2</v>
      </c>
      <c r="K313" s="14">
        <v>2.8</v>
      </c>
      <c r="L313" s="27">
        <v>9.7100000000000009</v>
      </c>
      <c r="M313" s="27">
        <v>3.17</v>
      </c>
      <c r="N313" s="4">
        <f t="shared" si="33"/>
        <v>3.0630914826498428</v>
      </c>
      <c r="O313" s="20">
        <f t="shared" si="34"/>
        <v>4.0798319327731098</v>
      </c>
      <c r="P313">
        <f t="shared" si="29"/>
        <v>3119.2632633716476</v>
      </c>
    </row>
    <row r="314" spans="1:16">
      <c r="A314" t="s">
        <v>319</v>
      </c>
      <c r="B314" t="s">
        <v>517</v>
      </c>
      <c r="C314" s="14">
        <v>2.38</v>
      </c>
      <c r="D314">
        <v>750</v>
      </c>
      <c r="E314" s="26">
        <v>2.3199999999999998</v>
      </c>
      <c r="F314">
        <v>826.7</v>
      </c>
      <c r="G314" s="27">
        <v>26.1</v>
      </c>
      <c r="H314" s="24">
        <f t="shared" si="30"/>
        <v>2.3828852407648129</v>
      </c>
      <c r="I314" s="25">
        <f t="shared" si="31"/>
        <v>5.9513682318172939E-4</v>
      </c>
      <c r="J314" s="24">
        <f t="shared" si="32"/>
        <v>1.0237768004323449E-2</v>
      </c>
      <c r="K314" s="14">
        <v>2.8</v>
      </c>
      <c r="L314" s="27">
        <v>9.7200000000000006</v>
      </c>
      <c r="M314" s="27">
        <v>3.2</v>
      </c>
      <c r="N314" s="4">
        <f t="shared" si="33"/>
        <v>3.0375000000000001</v>
      </c>
      <c r="O314" s="20">
        <f t="shared" si="34"/>
        <v>4.0840336134453787</v>
      </c>
      <c r="P314">
        <f t="shared" si="29"/>
        <v>3178.5823141762453</v>
      </c>
    </row>
    <row r="315" spans="1:16">
      <c r="A315" t="s">
        <v>320</v>
      </c>
      <c r="B315" t="s">
        <v>516</v>
      </c>
      <c r="C315" s="14">
        <v>2.38</v>
      </c>
      <c r="D315">
        <v>500</v>
      </c>
      <c r="E315" s="26">
        <v>2.3199999999999998</v>
      </c>
      <c r="F315">
        <v>826.7</v>
      </c>
      <c r="G315" s="27">
        <v>26.1</v>
      </c>
      <c r="H315" s="24">
        <f t="shared" si="30"/>
        <v>1.5885901605098753</v>
      </c>
      <c r="I315" s="25">
        <f t="shared" si="31"/>
        <v>2.6450525474743539E-4</v>
      </c>
      <c r="J315" s="24">
        <f t="shared" si="32"/>
        <v>1.0237768004323451E-2</v>
      </c>
      <c r="K315" s="14">
        <v>2.8</v>
      </c>
      <c r="L315" s="27">
        <v>9.6</v>
      </c>
      <c r="M315" s="27">
        <v>3.17</v>
      </c>
      <c r="N315" s="4">
        <f t="shared" si="33"/>
        <v>3.0283911671924288</v>
      </c>
      <c r="O315" s="20">
        <f t="shared" si="34"/>
        <v>4.0336134453781511</v>
      </c>
      <c r="P315">
        <f t="shared" si="29"/>
        <v>3119.2632633716476</v>
      </c>
    </row>
    <row r="316" spans="1:16">
      <c r="A316" t="s">
        <v>321</v>
      </c>
      <c r="B316" t="s">
        <v>516</v>
      </c>
      <c r="C316" s="14">
        <v>2.38</v>
      </c>
      <c r="D316">
        <v>250</v>
      </c>
      <c r="E316" s="26">
        <v>2.3199999999999998</v>
      </c>
      <c r="F316">
        <v>826.7</v>
      </c>
      <c r="G316" s="27">
        <v>26.1</v>
      </c>
      <c r="H316" s="24">
        <f t="shared" si="30"/>
        <v>0.79429508025493767</v>
      </c>
      <c r="I316" s="25">
        <f t="shared" si="31"/>
        <v>6.6126313686858847E-5</v>
      </c>
      <c r="J316" s="24">
        <f t="shared" si="32"/>
        <v>1.0237768004323451E-2</v>
      </c>
      <c r="K316" s="14">
        <v>2.8</v>
      </c>
      <c r="L316" s="27">
        <v>9.44</v>
      </c>
      <c r="M316" s="27">
        <v>3.15</v>
      </c>
      <c r="N316" s="4">
        <f t="shared" si="33"/>
        <v>2.9968253968253968</v>
      </c>
      <c r="O316" s="20">
        <f t="shared" si="34"/>
        <v>3.9663865546218489</v>
      </c>
      <c r="P316">
        <f t="shared" si="29"/>
        <v>3080.0276379310344</v>
      </c>
    </row>
    <row r="317" spans="1:16">
      <c r="A317" t="s">
        <v>322</v>
      </c>
      <c r="B317" t="s">
        <v>516</v>
      </c>
      <c r="C317" s="14">
        <v>2.38</v>
      </c>
      <c r="D317">
        <v>100</v>
      </c>
      <c r="E317" s="26">
        <v>2.3199999999999998</v>
      </c>
      <c r="F317">
        <v>826.7</v>
      </c>
      <c r="G317" s="27">
        <v>26.1</v>
      </c>
      <c r="H317" s="24">
        <f t="shared" si="30"/>
        <v>0.31771803210197508</v>
      </c>
      <c r="I317" s="25">
        <f t="shared" si="31"/>
        <v>1.0580210189897412E-5</v>
      </c>
      <c r="J317" s="24">
        <f t="shared" si="32"/>
        <v>1.0237768004323449E-2</v>
      </c>
      <c r="K317" s="14">
        <v>2.8</v>
      </c>
      <c r="L317" s="27">
        <v>9.33</v>
      </c>
      <c r="M317" s="27">
        <v>3.14</v>
      </c>
      <c r="N317" s="4">
        <f t="shared" si="33"/>
        <v>2.9713375796178343</v>
      </c>
      <c r="O317" s="20">
        <f t="shared" si="34"/>
        <v>3.920168067226891</v>
      </c>
      <c r="P317">
        <f t="shared" si="29"/>
        <v>3060.5029477394642</v>
      </c>
    </row>
    <row r="318" spans="1:16">
      <c r="A318" t="s">
        <v>323</v>
      </c>
      <c r="B318" t="s">
        <v>516</v>
      </c>
      <c r="C318" s="14">
        <v>1.79</v>
      </c>
      <c r="D318">
        <v>1000</v>
      </c>
      <c r="E318" s="26">
        <v>2.3199999999999998</v>
      </c>
      <c r="F318">
        <v>826.7</v>
      </c>
      <c r="G318" s="27">
        <v>26.1</v>
      </c>
      <c r="H318" s="24">
        <f t="shared" si="30"/>
        <v>4.2244073542050318</v>
      </c>
      <c r="I318" s="25">
        <f t="shared" si="31"/>
        <v>2.4869443878936998E-3</v>
      </c>
      <c r="J318" s="24">
        <f t="shared" si="32"/>
        <v>1.1805034127158163E-2</v>
      </c>
      <c r="K318" s="14">
        <v>2.4</v>
      </c>
      <c r="L318" s="27">
        <v>8.42</v>
      </c>
      <c r="M318" s="27">
        <v>2.99</v>
      </c>
      <c r="N318" s="4">
        <f t="shared" si="33"/>
        <v>2.8160535117056855</v>
      </c>
      <c r="O318" s="20">
        <f t="shared" si="34"/>
        <v>4.7039106145251397</v>
      </c>
      <c r="P318">
        <f t="shared" si="29"/>
        <v>2775.0823971647519</v>
      </c>
    </row>
    <row r="319" spans="1:16">
      <c r="A319" t="s">
        <v>324</v>
      </c>
      <c r="B319" t="s">
        <v>516</v>
      </c>
      <c r="C319" s="14">
        <v>1.79</v>
      </c>
      <c r="D319">
        <v>750</v>
      </c>
      <c r="E319" s="26">
        <v>2.3199999999999998</v>
      </c>
      <c r="F319">
        <v>826.7</v>
      </c>
      <c r="G319" s="27">
        <v>26.1</v>
      </c>
      <c r="H319" s="24">
        <f t="shared" si="30"/>
        <v>3.1683055156537736</v>
      </c>
      <c r="I319" s="25">
        <f t="shared" si="31"/>
        <v>1.3989062181902056E-3</v>
      </c>
      <c r="J319" s="24">
        <f t="shared" si="32"/>
        <v>1.1805034127158163E-2</v>
      </c>
      <c r="K319" s="14">
        <v>2.4</v>
      </c>
      <c r="L319" s="27">
        <v>8.3800000000000008</v>
      </c>
      <c r="M319" s="27">
        <v>2.98</v>
      </c>
      <c r="N319" s="4">
        <f t="shared" si="33"/>
        <v>2.8120805369127519</v>
      </c>
      <c r="O319" s="20">
        <f t="shared" si="34"/>
        <v>4.6815642458100566</v>
      </c>
      <c r="P319">
        <f t="shared" si="29"/>
        <v>2756.5510139463604</v>
      </c>
    </row>
    <row r="320" spans="1:16">
      <c r="A320" t="s">
        <v>325</v>
      </c>
      <c r="B320" t="s">
        <v>516</v>
      </c>
      <c r="C320" s="14">
        <v>1.79</v>
      </c>
      <c r="D320">
        <v>500</v>
      </c>
      <c r="E320" s="26">
        <v>2.3199999999999998</v>
      </c>
      <c r="F320">
        <v>826.7</v>
      </c>
      <c r="G320" s="27">
        <v>26.1</v>
      </c>
      <c r="H320" s="24">
        <f t="shared" si="30"/>
        <v>2.1122036771025159</v>
      </c>
      <c r="I320" s="25">
        <f t="shared" si="31"/>
        <v>6.2173609697342496E-4</v>
      </c>
      <c r="J320" s="24">
        <f t="shared" si="32"/>
        <v>1.1805034127158163E-2</v>
      </c>
      <c r="K320" s="14">
        <v>2.4</v>
      </c>
      <c r="L320" s="27">
        <v>8.19</v>
      </c>
      <c r="M320" s="27">
        <v>2.96</v>
      </c>
      <c r="N320" s="4">
        <f t="shared" si="33"/>
        <v>2.7668918918918917</v>
      </c>
      <c r="O320" s="20">
        <f t="shared" si="34"/>
        <v>4.5754189944134076</v>
      </c>
      <c r="P320">
        <f t="shared" si="29"/>
        <v>2719.6744925670496</v>
      </c>
    </row>
    <row r="321" spans="1:16">
      <c r="A321" t="s">
        <v>326</v>
      </c>
      <c r="B321" t="s">
        <v>516</v>
      </c>
      <c r="C321" s="14">
        <v>1.79</v>
      </c>
      <c r="D321">
        <v>250</v>
      </c>
      <c r="E321" s="26">
        <v>2.3199999999999998</v>
      </c>
      <c r="F321">
        <v>826.7</v>
      </c>
      <c r="G321" s="27">
        <v>26.1</v>
      </c>
      <c r="H321" s="24">
        <f t="shared" si="30"/>
        <v>1.0561018385512579</v>
      </c>
      <c r="I321" s="25">
        <f t="shared" si="31"/>
        <v>1.5543402424335624E-4</v>
      </c>
      <c r="J321" s="24">
        <f t="shared" si="32"/>
        <v>1.1805034127158163E-2</v>
      </c>
      <c r="K321" s="14">
        <v>2.4</v>
      </c>
      <c r="L321" s="27">
        <v>8.1</v>
      </c>
      <c r="M321" s="27">
        <v>2.96</v>
      </c>
      <c r="N321" s="4">
        <f t="shared" si="33"/>
        <v>2.7364864864864864</v>
      </c>
      <c r="O321" s="20">
        <f t="shared" si="34"/>
        <v>4.5251396648044686</v>
      </c>
      <c r="P321">
        <f t="shared" si="29"/>
        <v>2719.6744925670496</v>
      </c>
    </row>
    <row r="322" spans="1:16">
      <c r="A322" t="s">
        <v>327</v>
      </c>
      <c r="B322" t="s">
        <v>516</v>
      </c>
      <c r="C322" s="14">
        <v>1.79</v>
      </c>
      <c r="D322">
        <v>100</v>
      </c>
      <c r="E322" s="26">
        <v>2.3199999999999998</v>
      </c>
      <c r="F322">
        <v>826.7</v>
      </c>
      <c r="G322" s="27">
        <v>26.1</v>
      </c>
      <c r="H322" s="24">
        <f t="shared" si="30"/>
        <v>0.42244073542050314</v>
      </c>
      <c r="I322" s="25">
        <f t="shared" si="31"/>
        <v>2.4869443878936992E-5</v>
      </c>
      <c r="J322" s="24">
        <f t="shared" si="32"/>
        <v>1.1805034127158165E-2</v>
      </c>
      <c r="K322" s="14">
        <v>2.4</v>
      </c>
      <c r="L322" s="27">
        <v>8.08</v>
      </c>
      <c r="M322" s="27">
        <v>2.94</v>
      </c>
      <c r="N322" s="4">
        <f t="shared" si="33"/>
        <v>2.7482993197278911</v>
      </c>
      <c r="O322" s="20">
        <f t="shared" si="34"/>
        <v>4.5139664804469275</v>
      </c>
      <c r="P322">
        <f t="shared" si="29"/>
        <v>2683.046297931035</v>
      </c>
    </row>
    <row r="323" spans="1:16">
      <c r="A323" t="s">
        <v>328</v>
      </c>
      <c r="B323" t="s">
        <v>516</v>
      </c>
      <c r="C323" s="14">
        <v>1.37</v>
      </c>
      <c r="D323">
        <v>1000</v>
      </c>
      <c r="E323" s="26">
        <v>2.3199999999999998</v>
      </c>
      <c r="F323">
        <v>826.7</v>
      </c>
      <c r="G323" s="27">
        <v>26.1</v>
      </c>
      <c r="H323" s="24">
        <f t="shared" si="30"/>
        <v>5.5194811416255511</v>
      </c>
      <c r="I323" s="25">
        <f t="shared" si="31"/>
        <v>5.5470676872128657E-3</v>
      </c>
      <c r="J323" s="24">
        <f t="shared" si="32"/>
        <v>1.3493775451472682E-2</v>
      </c>
      <c r="K323" s="14">
        <v>1.8</v>
      </c>
      <c r="L323" s="27">
        <v>6.57</v>
      </c>
      <c r="M323" s="27">
        <v>2.77</v>
      </c>
      <c r="N323" s="4">
        <f t="shared" si="33"/>
        <v>2.371841155234657</v>
      </c>
      <c r="O323" s="20">
        <f t="shared" si="34"/>
        <v>4.7956204379562042</v>
      </c>
      <c r="P323">
        <f t="shared" si="29"/>
        <v>2381.7328357854408</v>
      </c>
    </row>
    <row r="324" spans="1:16">
      <c r="A324" t="s">
        <v>329</v>
      </c>
      <c r="B324" t="s">
        <v>516</v>
      </c>
      <c r="C324" s="14">
        <v>1.37</v>
      </c>
      <c r="D324">
        <v>750</v>
      </c>
      <c r="E324" s="26">
        <v>2.3199999999999998</v>
      </c>
      <c r="F324">
        <v>826.7</v>
      </c>
      <c r="G324" s="27">
        <v>26.1</v>
      </c>
      <c r="H324" s="24">
        <f t="shared" si="30"/>
        <v>4.1396108562191634</v>
      </c>
      <c r="I324" s="25">
        <f t="shared" si="31"/>
        <v>3.1202255740572361E-3</v>
      </c>
      <c r="J324" s="24">
        <f t="shared" si="32"/>
        <v>1.349377545147268E-2</v>
      </c>
      <c r="K324" s="14">
        <v>1.8</v>
      </c>
      <c r="L324" s="27">
        <v>6.54</v>
      </c>
      <c r="M324" s="27">
        <v>2.77</v>
      </c>
      <c r="N324" s="4">
        <f t="shared" si="33"/>
        <v>2.3610108303249095</v>
      </c>
      <c r="O324" s="20">
        <f t="shared" si="34"/>
        <v>4.773722627737226</v>
      </c>
      <c r="P324">
        <f t="shared" ref="P324:P387" si="35">F324*M324*M324*9.8/G324</f>
        <v>2381.7328357854408</v>
      </c>
    </row>
    <row r="325" spans="1:16">
      <c r="A325" t="s">
        <v>330</v>
      </c>
      <c r="B325" t="s">
        <v>516</v>
      </c>
      <c r="C325" s="14">
        <v>1.37</v>
      </c>
      <c r="D325">
        <v>500</v>
      </c>
      <c r="E325" s="26">
        <v>2.3199999999999998</v>
      </c>
      <c r="F325">
        <v>826.7</v>
      </c>
      <c r="G325" s="27">
        <v>26.1</v>
      </c>
      <c r="H325" s="24">
        <f t="shared" si="30"/>
        <v>2.7597405708127756</v>
      </c>
      <c r="I325" s="25">
        <f t="shared" si="31"/>
        <v>1.3867669218032164E-3</v>
      </c>
      <c r="J325" s="24">
        <f t="shared" si="32"/>
        <v>1.3493775451472682E-2</v>
      </c>
      <c r="K325" s="14">
        <v>1.8</v>
      </c>
      <c r="L325" s="27">
        <v>6.42</v>
      </c>
      <c r="M325" s="27">
        <v>2.76</v>
      </c>
      <c r="N325" s="4">
        <f t="shared" si="33"/>
        <v>2.3260869565217392</v>
      </c>
      <c r="O325" s="20">
        <f t="shared" si="34"/>
        <v>4.6861313868613133</v>
      </c>
      <c r="P325">
        <f t="shared" si="35"/>
        <v>2364.5672496551724</v>
      </c>
    </row>
    <row r="326" spans="1:16">
      <c r="A326" t="s">
        <v>331</v>
      </c>
      <c r="B326" t="s">
        <v>516</v>
      </c>
      <c r="C326" s="14">
        <v>1.37</v>
      </c>
      <c r="D326">
        <v>250</v>
      </c>
      <c r="E326" s="26">
        <v>2.3199999999999998</v>
      </c>
      <c r="F326">
        <v>826.7</v>
      </c>
      <c r="G326" s="27">
        <v>26.1</v>
      </c>
      <c r="H326" s="24">
        <f t="shared" si="30"/>
        <v>1.3798702854063878</v>
      </c>
      <c r="I326" s="25">
        <f t="shared" si="31"/>
        <v>3.4669173045080411E-4</v>
      </c>
      <c r="J326" s="24">
        <f t="shared" si="32"/>
        <v>1.3493775451472682E-2</v>
      </c>
      <c r="K326" s="14">
        <v>1.8</v>
      </c>
      <c r="L326" s="27">
        <v>6.3</v>
      </c>
      <c r="M326" s="27">
        <v>2.75</v>
      </c>
      <c r="N326" s="4">
        <f t="shared" si="33"/>
        <v>2.290909090909091</v>
      </c>
      <c r="O326" s="20">
        <f t="shared" si="34"/>
        <v>4.5985401459854014</v>
      </c>
      <c r="P326">
        <f t="shared" si="35"/>
        <v>2347.4637452107286</v>
      </c>
    </row>
    <row r="327" spans="1:16">
      <c r="A327" t="s">
        <v>332</v>
      </c>
      <c r="B327" t="s">
        <v>516</v>
      </c>
      <c r="C327" s="14">
        <v>1.37</v>
      </c>
      <c r="D327">
        <v>100</v>
      </c>
      <c r="E327" s="26">
        <v>2.3199999999999998</v>
      </c>
      <c r="F327">
        <v>826.7</v>
      </c>
      <c r="G327" s="27">
        <v>26.1</v>
      </c>
      <c r="H327" s="24">
        <f t="shared" si="30"/>
        <v>0.55194811416255518</v>
      </c>
      <c r="I327" s="25">
        <f t="shared" si="31"/>
        <v>5.5470676872128648E-5</v>
      </c>
      <c r="J327" s="24">
        <f t="shared" si="32"/>
        <v>1.3493775451472678E-2</v>
      </c>
      <c r="K327" s="14">
        <v>1.8</v>
      </c>
      <c r="L327" s="27">
        <v>6.3</v>
      </c>
      <c r="M327" s="27">
        <v>2.73</v>
      </c>
      <c r="N327" s="4">
        <f t="shared" si="33"/>
        <v>2.3076923076923075</v>
      </c>
      <c r="O327" s="20">
        <f t="shared" si="34"/>
        <v>4.5985401459854014</v>
      </c>
      <c r="P327">
        <f t="shared" si="35"/>
        <v>2313.4429813793104</v>
      </c>
    </row>
    <row r="328" spans="1:16">
      <c r="A328" t="s">
        <v>333</v>
      </c>
      <c r="B328" t="s">
        <v>516</v>
      </c>
      <c r="C328" s="14">
        <v>0.83</v>
      </c>
      <c r="D328">
        <v>1000</v>
      </c>
      <c r="E328" s="26">
        <v>2.3199999999999998</v>
      </c>
      <c r="F328">
        <v>826.7</v>
      </c>
      <c r="G328" s="27">
        <v>26.1</v>
      </c>
      <c r="H328" s="24">
        <f t="shared" si="30"/>
        <v>9.1104688723216949</v>
      </c>
      <c r="I328" s="25">
        <f t="shared" si="31"/>
        <v>2.4945423975567593E-2</v>
      </c>
      <c r="J328" s="24">
        <f t="shared" si="32"/>
        <v>1.7336232238571198E-2</v>
      </c>
      <c r="K328" s="14">
        <v>1.27</v>
      </c>
      <c r="L328" s="27">
        <v>5.45</v>
      </c>
      <c r="M328" s="27">
        <v>2.61</v>
      </c>
      <c r="N328" s="4">
        <f t="shared" si="33"/>
        <v>2.088122605363985</v>
      </c>
      <c r="O328" s="20">
        <f t="shared" si="34"/>
        <v>6.5662650602409647</v>
      </c>
      <c r="P328">
        <f t="shared" si="35"/>
        <v>2114.5332599999997</v>
      </c>
    </row>
    <row r="329" spans="1:16">
      <c r="A329" t="s">
        <v>334</v>
      </c>
      <c r="B329" t="s">
        <v>516</v>
      </c>
      <c r="C329" s="14">
        <v>0.83</v>
      </c>
      <c r="D329">
        <v>750</v>
      </c>
      <c r="E329" s="26">
        <v>2.3199999999999998</v>
      </c>
      <c r="F329">
        <v>826.7</v>
      </c>
      <c r="G329" s="27">
        <v>26.1</v>
      </c>
      <c r="H329" s="24">
        <f t="shared" si="30"/>
        <v>6.8328516542412707</v>
      </c>
      <c r="I329" s="25">
        <f t="shared" si="31"/>
        <v>1.4031800986256766E-2</v>
      </c>
      <c r="J329" s="24">
        <f t="shared" si="32"/>
        <v>1.7336232238571194E-2</v>
      </c>
      <c r="K329" s="14">
        <v>1.27</v>
      </c>
      <c r="L329" s="27">
        <v>5.65</v>
      </c>
      <c r="M329" s="27">
        <v>2.58</v>
      </c>
      <c r="N329" s="4">
        <f t="shared" si="33"/>
        <v>2.1899224806201549</v>
      </c>
      <c r="O329" s="20">
        <f t="shared" si="34"/>
        <v>6.8072289156626518</v>
      </c>
      <c r="P329">
        <f t="shared" si="35"/>
        <v>2066.2026675862071</v>
      </c>
    </row>
    <row r="330" spans="1:16">
      <c r="A330" t="s">
        <v>335</v>
      </c>
      <c r="B330" t="s">
        <v>516</v>
      </c>
      <c r="C330" s="14">
        <v>0.83</v>
      </c>
      <c r="D330">
        <v>500</v>
      </c>
      <c r="E330" s="26">
        <v>2.3199999999999998</v>
      </c>
      <c r="F330">
        <v>826.7</v>
      </c>
      <c r="G330" s="27">
        <v>26.1</v>
      </c>
      <c r="H330" s="24">
        <f t="shared" si="30"/>
        <v>4.5552344361608474</v>
      </c>
      <c r="I330" s="25">
        <f t="shared" si="31"/>
        <v>6.2363559938918983E-3</v>
      </c>
      <c r="J330" s="24">
        <f t="shared" si="32"/>
        <v>1.7336232238571198E-2</v>
      </c>
      <c r="K330" s="14">
        <v>1.27</v>
      </c>
      <c r="L330" s="27">
        <v>5.55</v>
      </c>
      <c r="M330" s="27">
        <v>2.57</v>
      </c>
      <c r="N330" s="4">
        <f t="shared" si="33"/>
        <v>2.159533073929961</v>
      </c>
      <c r="O330" s="20">
        <f t="shared" si="34"/>
        <v>6.6867469879518078</v>
      </c>
      <c r="P330">
        <f t="shared" si="35"/>
        <v>2050.2166334865906</v>
      </c>
    </row>
    <row r="331" spans="1:16">
      <c r="A331" t="s">
        <v>336</v>
      </c>
      <c r="B331" t="s">
        <v>516</v>
      </c>
      <c r="C331" s="14">
        <v>0.83</v>
      </c>
      <c r="D331">
        <v>250</v>
      </c>
      <c r="E331" s="26">
        <v>2.3199999999999998</v>
      </c>
      <c r="F331">
        <v>826.7</v>
      </c>
      <c r="G331" s="27">
        <v>26.1</v>
      </c>
      <c r="H331" s="24">
        <f t="shared" si="30"/>
        <v>2.2776172180804237</v>
      </c>
      <c r="I331" s="25">
        <f t="shared" si="31"/>
        <v>1.5590889984729746E-3</v>
      </c>
      <c r="J331" s="24">
        <f t="shared" si="32"/>
        <v>1.7336232238571198E-2</v>
      </c>
      <c r="K331" s="14">
        <v>1.27</v>
      </c>
      <c r="L331" s="27">
        <v>5.05</v>
      </c>
      <c r="M331" s="27">
        <v>2.52</v>
      </c>
      <c r="N331" s="4">
        <f t="shared" si="33"/>
        <v>2.003968253968254</v>
      </c>
      <c r="O331" s="20">
        <f t="shared" si="34"/>
        <v>6.0843373493975905</v>
      </c>
      <c r="P331">
        <f t="shared" si="35"/>
        <v>1971.217688275862</v>
      </c>
    </row>
    <row r="332" spans="1:16">
      <c r="A332" t="s">
        <v>337</v>
      </c>
      <c r="B332" t="s">
        <v>516</v>
      </c>
      <c r="C332" s="14">
        <v>0.83</v>
      </c>
      <c r="D332">
        <v>100</v>
      </c>
      <c r="E332" s="26">
        <v>2.3199999999999998</v>
      </c>
      <c r="F332">
        <v>826.7</v>
      </c>
      <c r="G332" s="27">
        <v>26.1</v>
      </c>
      <c r="H332" s="24">
        <f t="shared" si="30"/>
        <v>0.91104688723216953</v>
      </c>
      <c r="I332" s="25">
        <f t="shared" si="31"/>
        <v>2.494542397556759E-4</v>
      </c>
      <c r="J332" s="24">
        <f t="shared" si="32"/>
        <v>1.7336232238571194E-2</v>
      </c>
      <c r="K332" s="14">
        <v>1.27</v>
      </c>
      <c r="L332" s="27">
        <v>4.87</v>
      </c>
      <c r="M332" s="27">
        <v>2.54</v>
      </c>
      <c r="N332" s="4">
        <f t="shared" si="33"/>
        <v>1.9173228346456692</v>
      </c>
      <c r="O332" s="20">
        <f t="shared" si="34"/>
        <v>5.8674698795180724</v>
      </c>
      <c r="P332">
        <f t="shared" si="35"/>
        <v>2002.631021302682</v>
      </c>
    </row>
    <row r="333" spans="1:16">
      <c r="A333" t="s">
        <v>338</v>
      </c>
      <c r="B333" t="s">
        <v>516</v>
      </c>
      <c r="C333" s="14">
        <v>0.25</v>
      </c>
      <c r="D333">
        <v>1000</v>
      </c>
      <c r="E333" s="26">
        <v>2.3199999999999998</v>
      </c>
      <c r="F333">
        <v>826.7</v>
      </c>
      <c r="G333" s="27">
        <v>26.1</v>
      </c>
      <c r="H333" s="24">
        <f t="shared" si="30"/>
        <v>30.246756656108026</v>
      </c>
      <c r="I333" s="25">
        <f t="shared" si="31"/>
        <v>0.91286202487794343</v>
      </c>
      <c r="J333" s="24">
        <f t="shared" si="32"/>
        <v>3.1588118464424587E-2</v>
      </c>
      <c r="K333" s="14">
        <v>0.51</v>
      </c>
      <c r="L333" s="27">
        <v>2.84</v>
      </c>
      <c r="M333" s="27">
        <v>2.0699999999999998</v>
      </c>
      <c r="N333" s="4">
        <f t="shared" si="33"/>
        <v>1.3719806763285025</v>
      </c>
      <c r="O333" s="20">
        <f t="shared" si="34"/>
        <v>11.36</v>
      </c>
      <c r="P333">
        <f t="shared" si="35"/>
        <v>1330.0690779310344</v>
      </c>
    </row>
    <row r="334" spans="1:16">
      <c r="A334" t="s">
        <v>339</v>
      </c>
      <c r="B334" t="s">
        <v>516</v>
      </c>
      <c r="C334" s="14">
        <v>0.25</v>
      </c>
      <c r="D334">
        <v>750</v>
      </c>
      <c r="E334" s="26">
        <v>2.3199999999999998</v>
      </c>
      <c r="F334">
        <v>826.7</v>
      </c>
      <c r="G334" s="27">
        <v>26.1</v>
      </c>
      <c r="H334" s="24">
        <f t="shared" si="30"/>
        <v>22.685067492081018</v>
      </c>
      <c r="I334" s="25">
        <f t="shared" si="31"/>
        <v>0.51348488899384304</v>
      </c>
      <c r="J334" s="24">
        <f t="shared" si="32"/>
        <v>3.1588118464424587E-2</v>
      </c>
      <c r="K334" s="14">
        <v>0.51</v>
      </c>
      <c r="L334" s="27">
        <v>2.77</v>
      </c>
      <c r="M334" s="27">
        <v>2.04</v>
      </c>
      <c r="N334" s="4">
        <f t="shared" si="33"/>
        <v>1.357843137254902</v>
      </c>
      <c r="O334" s="20">
        <f t="shared" si="34"/>
        <v>11.08</v>
      </c>
      <c r="P334">
        <f t="shared" si="35"/>
        <v>1291.7957186206897</v>
      </c>
    </row>
    <row r="335" spans="1:16">
      <c r="A335" t="s">
        <v>340</v>
      </c>
      <c r="B335" t="s">
        <v>516</v>
      </c>
      <c r="C335" s="14">
        <v>0.25</v>
      </c>
      <c r="D335">
        <v>500</v>
      </c>
      <c r="E335" s="26">
        <v>2.3199999999999998</v>
      </c>
      <c r="F335">
        <v>826.7</v>
      </c>
      <c r="G335" s="27">
        <v>26.1</v>
      </c>
      <c r="H335" s="24">
        <f t="shared" si="30"/>
        <v>15.123378328054013</v>
      </c>
      <c r="I335" s="25">
        <f t="shared" si="31"/>
        <v>0.22821550621948586</v>
      </c>
      <c r="J335" s="24">
        <f t="shared" si="32"/>
        <v>3.1588118464424587E-2</v>
      </c>
      <c r="K335" s="14">
        <v>0.51</v>
      </c>
      <c r="L335" s="27">
        <v>2.85</v>
      </c>
      <c r="M335" s="27">
        <v>2.06</v>
      </c>
      <c r="N335" s="4">
        <f t="shared" si="33"/>
        <v>1.383495145631068</v>
      </c>
      <c r="O335" s="20">
        <f t="shared" si="34"/>
        <v>11.4</v>
      </c>
      <c r="P335">
        <f t="shared" si="35"/>
        <v>1317.2492098084294</v>
      </c>
    </row>
    <row r="336" spans="1:16">
      <c r="A336" t="s">
        <v>341</v>
      </c>
      <c r="B336" t="s">
        <v>516</v>
      </c>
      <c r="C336" s="14">
        <v>0.25</v>
      </c>
      <c r="D336">
        <v>250</v>
      </c>
      <c r="E336" s="26">
        <v>2.3199999999999998</v>
      </c>
      <c r="F336">
        <v>826.7</v>
      </c>
      <c r="G336" s="27">
        <v>26.1</v>
      </c>
      <c r="H336" s="24">
        <f t="shared" si="30"/>
        <v>7.5616891640270065</v>
      </c>
      <c r="I336" s="25">
        <f t="shared" si="31"/>
        <v>5.7053876554871465E-2</v>
      </c>
      <c r="J336" s="24">
        <f t="shared" si="32"/>
        <v>3.1588118464424587E-2</v>
      </c>
      <c r="K336" s="14">
        <v>0.51</v>
      </c>
      <c r="L336" s="27">
        <v>2.84</v>
      </c>
      <c r="M336" s="27">
        <v>2.08</v>
      </c>
      <c r="N336" s="4">
        <f t="shared" si="33"/>
        <v>1.3653846153846152</v>
      </c>
      <c r="O336" s="20">
        <f t="shared" si="34"/>
        <v>11.36</v>
      </c>
      <c r="P336">
        <f t="shared" si="35"/>
        <v>1342.9510277394636</v>
      </c>
    </row>
    <row r="337" spans="1:16">
      <c r="A337" t="s">
        <v>342</v>
      </c>
      <c r="B337" t="s">
        <v>516</v>
      </c>
      <c r="C337" s="14">
        <v>0.25</v>
      </c>
      <c r="D337">
        <v>100</v>
      </c>
      <c r="E337" s="26">
        <v>2.3199999999999998</v>
      </c>
      <c r="F337">
        <v>826.7</v>
      </c>
      <c r="G337" s="27">
        <v>26.1</v>
      </c>
      <c r="H337" s="24">
        <f t="shared" si="30"/>
        <v>3.0246756656108027</v>
      </c>
      <c r="I337" s="25">
        <f t="shared" si="31"/>
        <v>9.1286202487794333E-3</v>
      </c>
      <c r="J337" s="24">
        <f t="shared" si="32"/>
        <v>3.1588118464424587E-2</v>
      </c>
      <c r="K337" s="14">
        <v>0.51</v>
      </c>
      <c r="L337" s="27">
        <v>2.85</v>
      </c>
      <c r="M337" s="27">
        <v>2.0499999999999998</v>
      </c>
      <c r="N337" s="4">
        <f t="shared" si="33"/>
        <v>1.3902439024390245</v>
      </c>
      <c r="O337" s="20">
        <f t="shared" si="34"/>
        <v>11.4</v>
      </c>
      <c r="P337">
        <f t="shared" si="35"/>
        <v>1304.4914233716472</v>
      </c>
    </row>
    <row r="338" spans="1:16">
      <c r="A338" t="s">
        <v>343</v>
      </c>
      <c r="B338" t="s">
        <v>516</v>
      </c>
      <c r="C338" s="14">
        <v>0.1</v>
      </c>
      <c r="D338">
        <v>1000</v>
      </c>
      <c r="E338" s="26">
        <v>2.3199999999999998</v>
      </c>
      <c r="F338">
        <v>826.7</v>
      </c>
      <c r="G338" s="27">
        <v>26.1</v>
      </c>
      <c r="H338" s="24">
        <f t="shared" si="30"/>
        <v>75.616891640270055</v>
      </c>
      <c r="I338" s="25">
        <f t="shared" si="31"/>
        <v>14.263469138717866</v>
      </c>
      <c r="J338" s="24">
        <f t="shared" si="32"/>
        <v>4.9945200673401094E-2</v>
      </c>
      <c r="K338" s="14">
        <v>0.24</v>
      </c>
      <c r="L338" s="27">
        <v>1.96</v>
      </c>
      <c r="M338" s="27">
        <v>1.66</v>
      </c>
      <c r="N338" s="4">
        <f t="shared" si="33"/>
        <v>1.1807228915662651</v>
      </c>
      <c r="O338" s="20">
        <f t="shared" si="34"/>
        <v>19.599999999999998</v>
      </c>
      <c r="P338">
        <f t="shared" si="35"/>
        <v>855.36146727969356</v>
      </c>
    </row>
    <row r="339" spans="1:16">
      <c r="A339" t="s">
        <v>344</v>
      </c>
      <c r="B339" t="s">
        <v>516</v>
      </c>
      <c r="C339" s="14">
        <v>0.1</v>
      </c>
      <c r="D339">
        <v>750</v>
      </c>
      <c r="E339" s="26">
        <v>2.3199999999999998</v>
      </c>
      <c r="F339">
        <v>826.7</v>
      </c>
      <c r="G339" s="27">
        <v>26.1</v>
      </c>
      <c r="H339" s="24">
        <f t="shared" si="30"/>
        <v>56.712668730202545</v>
      </c>
      <c r="I339" s="25">
        <f t="shared" si="31"/>
        <v>8.0232013905287971</v>
      </c>
      <c r="J339" s="24">
        <f t="shared" si="32"/>
        <v>4.994520067340108E-2</v>
      </c>
      <c r="K339" s="14">
        <v>0.24</v>
      </c>
      <c r="L339" s="27">
        <v>1.87</v>
      </c>
      <c r="M339" s="27">
        <v>1.59</v>
      </c>
      <c r="N339" s="4">
        <f t="shared" si="33"/>
        <v>1.1761006289308176</v>
      </c>
      <c r="O339" s="20">
        <f t="shared" si="34"/>
        <v>18.7</v>
      </c>
      <c r="P339">
        <f t="shared" si="35"/>
        <v>784.7435496551725</v>
      </c>
    </row>
    <row r="340" spans="1:16">
      <c r="A340" t="s">
        <v>345</v>
      </c>
      <c r="B340" t="s">
        <v>516</v>
      </c>
      <c r="C340" s="14">
        <v>0.1</v>
      </c>
      <c r="D340">
        <v>500</v>
      </c>
      <c r="E340" s="26">
        <v>2.3199999999999998</v>
      </c>
      <c r="F340">
        <v>826.7</v>
      </c>
      <c r="G340" s="27">
        <v>26.1</v>
      </c>
      <c r="H340" s="24">
        <f t="shared" ref="H340:H403" si="36">(4/60*F340*D340*10^(-9))/(PI()*C340*E340*10^(-6))</f>
        <v>37.808445820135027</v>
      </c>
      <c r="I340" s="25">
        <f t="shared" ref="I340:I403" si="37">(16 * F340 * (D340 * 10^-9 / 60)^2) / (PI()^2 * (C340 * 10^-3)^3 * (G340 * 10^-3))</f>
        <v>3.5658672846794666</v>
      </c>
      <c r="J340" s="24">
        <f t="shared" si="32"/>
        <v>4.9945200673401094E-2</v>
      </c>
      <c r="K340" s="14">
        <v>0.24</v>
      </c>
      <c r="L340" s="27">
        <v>2.0099999999999998</v>
      </c>
      <c r="M340" s="27">
        <v>1.7</v>
      </c>
      <c r="N340" s="4">
        <f t="shared" si="33"/>
        <v>1.1823529411764704</v>
      </c>
      <c r="O340" s="20">
        <f t="shared" si="34"/>
        <v>20.099999999999998</v>
      </c>
      <c r="P340">
        <f t="shared" si="35"/>
        <v>897.08036015325672</v>
      </c>
    </row>
    <row r="341" spans="1:16">
      <c r="A341" t="s">
        <v>346</v>
      </c>
      <c r="B341" t="s">
        <v>516</v>
      </c>
      <c r="C341" s="14">
        <v>0.1</v>
      </c>
      <c r="D341">
        <v>250</v>
      </c>
      <c r="E341" s="26">
        <v>2.3199999999999998</v>
      </c>
      <c r="F341">
        <v>826.7</v>
      </c>
      <c r="G341" s="27">
        <v>26.1</v>
      </c>
      <c r="H341" s="24">
        <f t="shared" si="36"/>
        <v>18.904222910067514</v>
      </c>
      <c r="I341" s="25">
        <f t="shared" si="37"/>
        <v>0.89146682116986664</v>
      </c>
      <c r="J341" s="24">
        <f t="shared" si="32"/>
        <v>4.9945200673401094E-2</v>
      </c>
      <c r="K341" s="14">
        <v>0.24</v>
      </c>
      <c r="L341" s="27">
        <v>1.86</v>
      </c>
      <c r="M341" s="27">
        <v>1.58</v>
      </c>
      <c r="N341" s="4">
        <f t="shared" si="33"/>
        <v>1.1772151898734178</v>
      </c>
      <c r="O341" s="20">
        <f t="shared" si="34"/>
        <v>18.600000000000001</v>
      </c>
      <c r="P341">
        <f t="shared" si="35"/>
        <v>774.90360245210741</v>
      </c>
    </row>
    <row r="342" spans="1:16">
      <c r="A342" t="s">
        <v>347</v>
      </c>
      <c r="B342" t="s">
        <v>516</v>
      </c>
      <c r="C342" s="14">
        <v>0.1</v>
      </c>
      <c r="D342">
        <v>100</v>
      </c>
      <c r="E342" s="26">
        <v>2.3199999999999998</v>
      </c>
      <c r="F342">
        <v>826.7</v>
      </c>
      <c r="G342" s="27">
        <v>26.1</v>
      </c>
      <c r="H342" s="24">
        <f t="shared" si="36"/>
        <v>7.5616891640270065</v>
      </c>
      <c r="I342" s="25">
        <f t="shared" si="37"/>
        <v>0.14263469138717863</v>
      </c>
      <c r="J342" s="24">
        <f t="shared" si="32"/>
        <v>4.994520067340108E-2</v>
      </c>
      <c r="K342" s="14">
        <v>0.24</v>
      </c>
      <c r="L342" s="27">
        <v>2.0099999999999998</v>
      </c>
      <c r="M342" s="27">
        <v>1.69</v>
      </c>
      <c r="N342" s="4">
        <f t="shared" si="33"/>
        <v>1.1893491124260354</v>
      </c>
      <c r="O342" s="20">
        <f t="shared" si="34"/>
        <v>20.099999999999998</v>
      </c>
      <c r="P342">
        <f t="shared" si="35"/>
        <v>886.55751440613028</v>
      </c>
    </row>
    <row r="343" spans="1:16">
      <c r="A343" t="s">
        <v>348</v>
      </c>
      <c r="B343" t="s">
        <v>519</v>
      </c>
      <c r="C343" s="14">
        <v>2.38</v>
      </c>
      <c r="D343">
        <v>1000</v>
      </c>
      <c r="E343" s="26">
        <v>2.5</v>
      </c>
      <c r="F343">
        <v>886.2</v>
      </c>
      <c r="G343" s="27">
        <v>28.6</v>
      </c>
      <c r="H343" s="24">
        <f t="shared" si="36"/>
        <v>3.1606299286955224</v>
      </c>
      <c r="I343" s="25">
        <f t="shared" si="37"/>
        <v>1.0350291421300673E-3</v>
      </c>
      <c r="J343" s="24">
        <f t="shared" si="32"/>
        <v>1.0178942023113645E-2</v>
      </c>
      <c r="K343" s="14">
        <v>2.8</v>
      </c>
      <c r="L343" s="27">
        <v>9.5</v>
      </c>
      <c r="M343" s="27">
        <v>3.16</v>
      </c>
      <c r="N343" s="4">
        <f t="shared" si="33"/>
        <v>3.0063291139240507</v>
      </c>
      <c r="O343" s="20">
        <f t="shared" si="34"/>
        <v>3.9915966386554622</v>
      </c>
      <c r="P343">
        <f t="shared" si="35"/>
        <v>3032.2566243356646</v>
      </c>
    </row>
    <row r="344" spans="1:16">
      <c r="A344" t="s">
        <v>349</v>
      </c>
      <c r="B344" t="s">
        <v>519</v>
      </c>
      <c r="C344" s="14">
        <v>2.38</v>
      </c>
      <c r="D344">
        <v>750</v>
      </c>
      <c r="E344" s="26">
        <v>2.5</v>
      </c>
      <c r="F344">
        <v>886.2</v>
      </c>
      <c r="G344" s="27">
        <v>28.6</v>
      </c>
      <c r="H344" s="24">
        <f t="shared" si="36"/>
        <v>2.3704724465216418</v>
      </c>
      <c r="I344" s="25">
        <f t="shared" si="37"/>
        <v>5.8220389244816268E-4</v>
      </c>
      <c r="J344" s="24">
        <f t="shared" si="32"/>
        <v>1.0178942023113641E-2</v>
      </c>
      <c r="K344" s="14">
        <v>2.8</v>
      </c>
      <c r="L344" s="27">
        <v>9.56</v>
      </c>
      <c r="M344" s="27">
        <v>3.17</v>
      </c>
      <c r="N344" s="4">
        <f t="shared" si="33"/>
        <v>3.0157728706624609</v>
      </c>
      <c r="O344" s="20">
        <f t="shared" si="34"/>
        <v>4.0168067226890765</v>
      </c>
      <c r="P344">
        <f t="shared" si="35"/>
        <v>3051.4784882517483</v>
      </c>
    </row>
    <row r="345" spans="1:16">
      <c r="A345" t="s">
        <v>350</v>
      </c>
      <c r="B345" t="s">
        <v>518</v>
      </c>
      <c r="C345" s="14">
        <v>2.38</v>
      </c>
      <c r="D345">
        <v>500</v>
      </c>
      <c r="E345" s="26">
        <v>2.5</v>
      </c>
      <c r="F345">
        <v>886.2</v>
      </c>
      <c r="G345" s="27">
        <v>28.6</v>
      </c>
      <c r="H345" s="24">
        <f t="shared" si="36"/>
        <v>1.5803149643477612</v>
      </c>
      <c r="I345" s="25">
        <f t="shared" si="37"/>
        <v>2.5875728553251682E-4</v>
      </c>
      <c r="J345" s="24">
        <f t="shared" si="32"/>
        <v>1.0178942023113645E-2</v>
      </c>
      <c r="K345" s="14">
        <v>2.8</v>
      </c>
      <c r="L345" s="27">
        <v>9.6</v>
      </c>
      <c r="M345" s="27">
        <v>3.19</v>
      </c>
      <c r="N345" s="4">
        <f t="shared" si="33"/>
        <v>3.0094043887147337</v>
      </c>
      <c r="O345" s="20">
        <f t="shared" si="34"/>
        <v>4.0336134453781511</v>
      </c>
      <c r="P345">
        <f t="shared" si="35"/>
        <v>3090.1044138461539</v>
      </c>
    </row>
    <row r="346" spans="1:16">
      <c r="A346" t="s">
        <v>351</v>
      </c>
      <c r="B346" t="s">
        <v>518</v>
      </c>
      <c r="C346" s="14">
        <v>2.38</v>
      </c>
      <c r="D346">
        <v>250</v>
      </c>
      <c r="E346" s="26">
        <v>2.5</v>
      </c>
      <c r="F346">
        <v>886.2</v>
      </c>
      <c r="G346" s="27">
        <v>28.6</v>
      </c>
      <c r="H346" s="24">
        <f t="shared" si="36"/>
        <v>0.7901574821738806</v>
      </c>
      <c r="I346" s="25">
        <f t="shared" si="37"/>
        <v>6.4689321383129206E-5</v>
      </c>
      <c r="J346" s="24">
        <f t="shared" si="32"/>
        <v>1.0178942023113645E-2</v>
      </c>
      <c r="K346" s="14">
        <v>2.8</v>
      </c>
      <c r="L346" s="27">
        <v>9.5299999999999994</v>
      </c>
      <c r="M346" s="27">
        <v>3.16</v>
      </c>
      <c r="N346" s="4">
        <f t="shared" si="33"/>
        <v>3.0158227848101262</v>
      </c>
      <c r="O346" s="20">
        <f t="shared" si="34"/>
        <v>4.0042016806722689</v>
      </c>
      <c r="P346">
        <f t="shared" si="35"/>
        <v>3032.2566243356646</v>
      </c>
    </row>
    <row r="347" spans="1:16">
      <c r="A347" t="s">
        <v>352</v>
      </c>
      <c r="B347" t="s">
        <v>518</v>
      </c>
      <c r="C347" s="14">
        <v>2.38</v>
      </c>
      <c r="D347">
        <v>100</v>
      </c>
      <c r="E347" s="26">
        <v>2.5</v>
      </c>
      <c r="F347">
        <v>886.2</v>
      </c>
      <c r="G347" s="27">
        <v>28.6</v>
      </c>
      <c r="H347" s="24">
        <f t="shared" si="36"/>
        <v>0.31606299286955225</v>
      </c>
      <c r="I347" s="25">
        <f t="shared" si="37"/>
        <v>1.0350291421300671E-5</v>
      </c>
      <c r="J347" s="24">
        <f t="shared" si="32"/>
        <v>1.0178942023113641E-2</v>
      </c>
      <c r="K347" s="14">
        <v>2.8</v>
      </c>
      <c r="L347" s="27">
        <v>9.44</v>
      </c>
      <c r="M347" s="27">
        <v>3.16</v>
      </c>
      <c r="N347" s="4">
        <f t="shared" si="33"/>
        <v>2.9873417721518982</v>
      </c>
      <c r="O347" s="20">
        <f t="shared" si="34"/>
        <v>3.9663865546218489</v>
      </c>
      <c r="P347">
        <f t="shared" si="35"/>
        <v>3032.2566243356646</v>
      </c>
    </row>
    <row r="348" spans="1:16">
      <c r="A348" t="s">
        <v>353</v>
      </c>
      <c r="B348" t="s">
        <v>518</v>
      </c>
      <c r="C348" s="14">
        <v>1.79</v>
      </c>
      <c r="D348">
        <v>1000</v>
      </c>
      <c r="E348" s="26">
        <v>2.5</v>
      </c>
      <c r="F348">
        <v>886.2</v>
      </c>
      <c r="G348" s="27">
        <v>28.6</v>
      </c>
      <c r="H348" s="24">
        <f t="shared" si="36"/>
        <v>4.2024018046342695</v>
      </c>
      <c r="I348" s="25">
        <f t="shared" si="37"/>
        <v>2.4329005474623367E-3</v>
      </c>
      <c r="J348" s="24">
        <f t="shared" si="32"/>
        <v>1.1737202670589503E-2</v>
      </c>
      <c r="K348" s="14">
        <v>2.4</v>
      </c>
      <c r="L348" s="27">
        <v>8.4</v>
      </c>
      <c r="M348" s="27">
        <v>3</v>
      </c>
      <c r="N348" s="4">
        <f t="shared" si="33"/>
        <v>2.8000000000000003</v>
      </c>
      <c r="O348" s="20">
        <f t="shared" si="34"/>
        <v>4.6927374301675977</v>
      </c>
      <c r="P348">
        <f t="shared" si="35"/>
        <v>2732.9664335664338</v>
      </c>
    </row>
    <row r="349" spans="1:16">
      <c r="A349" t="s">
        <v>354</v>
      </c>
      <c r="B349" t="s">
        <v>518</v>
      </c>
      <c r="C349" s="14">
        <v>1.79</v>
      </c>
      <c r="D349">
        <v>750</v>
      </c>
      <c r="E349" s="26">
        <v>2.5</v>
      </c>
      <c r="F349">
        <v>886.2</v>
      </c>
      <c r="G349" s="27">
        <v>28.6</v>
      </c>
      <c r="H349" s="24">
        <f t="shared" si="36"/>
        <v>3.1518013534757023</v>
      </c>
      <c r="I349" s="25">
        <f t="shared" si="37"/>
        <v>1.368506557947564E-3</v>
      </c>
      <c r="J349" s="24">
        <f t="shared" si="32"/>
        <v>1.1737202670589499E-2</v>
      </c>
      <c r="K349" s="14">
        <v>2.4</v>
      </c>
      <c r="L349" s="27">
        <v>8.35</v>
      </c>
      <c r="M349" s="27">
        <v>3.01</v>
      </c>
      <c r="N349" s="4">
        <f t="shared" si="33"/>
        <v>2.7740863787375418</v>
      </c>
      <c r="O349" s="20">
        <f t="shared" si="34"/>
        <v>4.6648044692737427</v>
      </c>
      <c r="P349">
        <f t="shared" si="35"/>
        <v>2751.2165760839162</v>
      </c>
    </row>
    <row r="350" spans="1:16">
      <c r="A350" t="s">
        <v>355</v>
      </c>
      <c r="B350" t="s">
        <v>518</v>
      </c>
      <c r="C350" s="14">
        <v>1.79</v>
      </c>
      <c r="D350">
        <v>500</v>
      </c>
      <c r="E350" s="26">
        <v>2.5</v>
      </c>
      <c r="F350">
        <v>886.2</v>
      </c>
      <c r="G350" s="27">
        <v>28.6</v>
      </c>
      <c r="H350" s="24">
        <f t="shared" si="36"/>
        <v>2.1012009023171347</v>
      </c>
      <c r="I350" s="25">
        <f t="shared" si="37"/>
        <v>6.0822513686558419E-4</v>
      </c>
      <c r="J350" s="24">
        <f t="shared" si="32"/>
        <v>1.1737202670589503E-2</v>
      </c>
      <c r="K350" s="14">
        <v>2.4</v>
      </c>
      <c r="L350" s="27">
        <v>8.34</v>
      </c>
      <c r="M350" s="27">
        <v>3.01</v>
      </c>
      <c r="N350" s="4">
        <f t="shared" si="33"/>
        <v>2.7707641196013291</v>
      </c>
      <c r="O350" s="20">
        <f t="shared" si="34"/>
        <v>4.6592178770949717</v>
      </c>
      <c r="P350">
        <f t="shared" si="35"/>
        <v>2751.2165760839162</v>
      </c>
    </row>
    <row r="351" spans="1:16">
      <c r="A351" t="s">
        <v>356</v>
      </c>
      <c r="B351" t="s">
        <v>518</v>
      </c>
      <c r="C351" s="14">
        <v>1.79</v>
      </c>
      <c r="D351">
        <v>250</v>
      </c>
      <c r="E351" s="26">
        <v>2.5</v>
      </c>
      <c r="F351">
        <v>886.2</v>
      </c>
      <c r="G351" s="27">
        <v>28.6</v>
      </c>
      <c r="H351" s="24">
        <f t="shared" si="36"/>
        <v>1.0506004511585674</v>
      </c>
      <c r="I351" s="25">
        <f t="shared" si="37"/>
        <v>1.5205628421639605E-4</v>
      </c>
      <c r="J351" s="24">
        <f t="shared" si="32"/>
        <v>1.1737202670589503E-2</v>
      </c>
      <c r="K351" s="14">
        <v>2.4</v>
      </c>
      <c r="L351" s="27">
        <v>8.16</v>
      </c>
      <c r="M351" s="27">
        <v>2.99</v>
      </c>
      <c r="N351" s="4">
        <f t="shared" si="33"/>
        <v>2.7290969899665551</v>
      </c>
      <c r="O351" s="20">
        <f t="shared" si="34"/>
        <v>4.5586592178770946</v>
      </c>
      <c r="P351">
        <f t="shared" si="35"/>
        <v>2714.7770236363644</v>
      </c>
    </row>
    <row r="352" spans="1:16">
      <c r="A352" t="s">
        <v>357</v>
      </c>
      <c r="B352" t="s">
        <v>518</v>
      </c>
      <c r="C352" s="14">
        <v>1.79</v>
      </c>
      <c r="D352">
        <v>100</v>
      </c>
      <c r="E352" s="26">
        <v>2.5</v>
      </c>
      <c r="F352">
        <v>886.2</v>
      </c>
      <c r="G352" s="27">
        <v>28.6</v>
      </c>
      <c r="H352" s="24">
        <f t="shared" si="36"/>
        <v>0.42024018046342693</v>
      </c>
      <c r="I352" s="25">
        <f t="shared" si="37"/>
        <v>2.4329005474623363E-5</v>
      </c>
      <c r="J352" s="24">
        <f t="shared" si="32"/>
        <v>1.1737202670589501E-2</v>
      </c>
      <c r="K352" s="14">
        <v>2.4</v>
      </c>
      <c r="L352" s="27">
        <v>8.1</v>
      </c>
      <c r="M352" s="27">
        <v>2.97</v>
      </c>
      <c r="N352" s="4">
        <f t="shared" si="33"/>
        <v>2.7272727272727271</v>
      </c>
      <c r="O352" s="20">
        <f t="shared" si="34"/>
        <v>4.5251396648044686</v>
      </c>
      <c r="P352">
        <f t="shared" si="35"/>
        <v>2678.5804015384615</v>
      </c>
    </row>
    <row r="353" spans="1:16">
      <c r="A353" t="s">
        <v>358</v>
      </c>
      <c r="B353" t="s">
        <v>518</v>
      </c>
      <c r="C353" s="14">
        <v>1.37</v>
      </c>
      <c r="D353">
        <v>1000</v>
      </c>
      <c r="E353" s="26">
        <v>2.5</v>
      </c>
      <c r="F353">
        <v>886.2</v>
      </c>
      <c r="G353" s="27">
        <v>28.6</v>
      </c>
      <c r="H353" s="24">
        <f t="shared" si="36"/>
        <v>5.4907293651790825</v>
      </c>
      <c r="I353" s="25">
        <f t="shared" si="37"/>
        <v>5.4265242434555225E-3</v>
      </c>
      <c r="J353" s="24">
        <f t="shared" si="32"/>
        <v>1.3416240525810906E-2</v>
      </c>
      <c r="K353" s="14">
        <v>1.8</v>
      </c>
      <c r="L353" s="27">
        <v>6.67</v>
      </c>
      <c r="M353" s="27">
        <v>2.82</v>
      </c>
      <c r="N353" s="4">
        <f t="shared" si="33"/>
        <v>2.3652482269503547</v>
      </c>
      <c r="O353" s="20">
        <f t="shared" si="34"/>
        <v>4.8686131386861309</v>
      </c>
      <c r="P353">
        <f t="shared" si="35"/>
        <v>2414.8491406993003</v>
      </c>
    </row>
    <row r="354" spans="1:16">
      <c r="A354" t="s">
        <v>359</v>
      </c>
      <c r="B354" t="s">
        <v>518</v>
      </c>
      <c r="C354" s="14">
        <v>1.37</v>
      </c>
      <c r="D354">
        <v>750</v>
      </c>
      <c r="E354" s="26">
        <v>2.5</v>
      </c>
      <c r="F354">
        <v>886.2</v>
      </c>
      <c r="G354" s="27">
        <v>28.6</v>
      </c>
      <c r="H354" s="24">
        <f t="shared" si="36"/>
        <v>4.1180470238843121</v>
      </c>
      <c r="I354" s="25">
        <f t="shared" si="37"/>
        <v>3.0524198869437309E-3</v>
      </c>
      <c r="J354" s="24">
        <f t="shared" si="32"/>
        <v>1.3416240525810906E-2</v>
      </c>
      <c r="K354" s="14">
        <v>1.8</v>
      </c>
      <c r="L354" s="27">
        <v>6.84</v>
      </c>
      <c r="M354" s="27">
        <v>2.78</v>
      </c>
      <c r="N354" s="4">
        <f t="shared" si="33"/>
        <v>2.4604316546762592</v>
      </c>
      <c r="O354" s="20">
        <f t="shared" si="34"/>
        <v>4.992700729927007</v>
      </c>
      <c r="P354">
        <f t="shared" si="35"/>
        <v>2346.828642797203</v>
      </c>
    </row>
    <row r="355" spans="1:16">
      <c r="A355" t="s">
        <v>360</v>
      </c>
      <c r="B355" t="s">
        <v>518</v>
      </c>
      <c r="C355" s="14">
        <v>1.37</v>
      </c>
      <c r="D355">
        <v>500</v>
      </c>
      <c r="E355" s="26">
        <v>2.5</v>
      </c>
      <c r="F355">
        <v>886.2</v>
      </c>
      <c r="G355" s="27">
        <v>28.6</v>
      </c>
      <c r="H355" s="24">
        <f t="shared" si="36"/>
        <v>2.7453646825895412</v>
      </c>
      <c r="I355" s="25">
        <f t="shared" si="37"/>
        <v>1.3566310608638806E-3</v>
      </c>
      <c r="J355" s="24">
        <f t="shared" si="32"/>
        <v>1.3416240525810906E-2</v>
      </c>
      <c r="K355" s="14">
        <v>1.8</v>
      </c>
      <c r="L355" s="27">
        <v>6.73</v>
      </c>
      <c r="M355" s="27">
        <v>2.77</v>
      </c>
      <c r="N355" s="4">
        <f t="shared" si="33"/>
        <v>2.4296028880866429</v>
      </c>
      <c r="O355" s="20">
        <f t="shared" si="34"/>
        <v>4.9124087591240873</v>
      </c>
      <c r="P355">
        <f t="shared" si="35"/>
        <v>2329.9753497902102</v>
      </c>
    </row>
    <row r="356" spans="1:16">
      <c r="A356" t="s">
        <v>361</v>
      </c>
      <c r="B356" t="s">
        <v>518</v>
      </c>
      <c r="C356" s="14">
        <v>1.37</v>
      </c>
      <c r="D356">
        <v>250</v>
      </c>
      <c r="E356" s="26">
        <v>2.5</v>
      </c>
      <c r="F356">
        <v>886.2</v>
      </c>
      <c r="G356" s="27">
        <v>28.6</v>
      </c>
      <c r="H356" s="24">
        <f t="shared" si="36"/>
        <v>1.3726823412947706</v>
      </c>
      <c r="I356" s="25">
        <f t="shared" si="37"/>
        <v>3.3915776521597016E-4</v>
      </c>
      <c r="J356" s="24">
        <f t="shared" si="32"/>
        <v>1.3416240525810906E-2</v>
      </c>
      <c r="K356" s="14">
        <v>1.8</v>
      </c>
      <c r="L356" s="27">
        <v>6.29</v>
      </c>
      <c r="M356" s="27">
        <v>2.77</v>
      </c>
      <c r="N356" s="4">
        <f t="shared" si="33"/>
        <v>2.2707581227436822</v>
      </c>
      <c r="O356" s="20">
        <f t="shared" si="34"/>
        <v>4.5912408759124084</v>
      </c>
      <c r="P356">
        <f t="shared" si="35"/>
        <v>2329.9753497902102</v>
      </c>
    </row>
    <row r="357" spans="1:16">
      <c r="A357" t="s">
        <v>362</v>
      </c>
      <c r="B357" t="s">
        <v>518</v>
      </c>
      <c r="C357" s="14">
        <v>1.37</v>
      </c>
      <c r="D357">
        <v>100</v>
      </c>
      <c r="E357" s="26">
        <v>2.5</v>
      </c>
      <c r="F357">
        <v>886.2</v>
      </c>
      <c r="G357" s="27">
        <v>28.6</v>
      </c>
      <c r="H357" s="24">
        <f t="shared" si="36"/>
        <v>0.54907293651790823</v>
      </c>
      <c r="I357" s="25">
        <f t="shared" si="37"/>
        <v>5.4265242434555222E-5</v>
      </c>
      <c r="J357" s="24">
        <f t="shared" si="32"/>
        <v>1.3416240525810908E-2</v>
      </c>
      <c r="K357" s="14">
        <v>1.8</v>
      </c>
      <c r="L357" s="27">
        <v>6.36</v>
      </c>
      <c r="M357" s="27">
        <v>2.75</v>
      </c>
      <c r="N357" s="4">
        <f t="shared" si="33"/>
        <v>2.312727272727273</v>
      </c>
      <c r="O357" s="20">
        <f t="shared" si="34"/>
        <v>4.6423357664233578</v>
      </c>
      <c r="P357">
        <f t="shared" si="35"/>
        <v>2296.4509615384618</v>
      </c>
    </row>
    <row r="358" spans="1:16">
      <c r="A358" t="s">
        <v>363</v>
      </c>
      <c r="B358" t="s">
        <v>518</v>
      </c>
      <c r="C358" s="14">
        <v>0.83</v>
      </c>
      <c r="D358">
        <v>1000</v>
      </c>
      <c r="E358" s="26">
        <v>2.5</v>
      </c>
      <c r="F358">
        <v>886.2</v>
      </c>
      <c r="G358" s="27">
        <v>28.6</v>
      </c>
      <c r="H358" s="24">
        <f t="shared" si="36"/>
        <v>9.0630111208377642</v>
      </c>
      <c r="I358" s="25">
        <f t="shared" si="37"/>
        <v>2.4403334446187294E-2</v>
      </c>
      <c r="J358" s="24">
        <f t="shared" ref="J358:J421" si="38">SQRT(I358)/H358</f>
        <v>1.7236618643939595E-2</v>
      </c>
      <c r="K358" s="14">
        <v>1.27</v>
      </c>
      <c r="L358" s="27">
        <v>5.07</v>
      </c>
      <c r="M358" s="27">
        <v>2.59</v>
      </c>
      <c r="N358" s="4">
        <f t="shared" ref="N358:N421" si="39">L358/M358</f>
        <v>1.9575289575289578</v>
      </c>
      <c r="O358" s="20">
        <f t="shared" ref="O358:O421" si="40">L358/C358</f>
        <v>6.1084337349397595</v>
      </c>
      <c r="P358">
        <f t="shared" si="35"/>
        <v>2037.0013481118876</v>
      </c>
    </row>
    <row r="359" spans="1:16">
      <c r="A359" t="s">
        <v>364</v>
      </c>
      <c r="B359" t="s">
        <v>518</v>
      </c>
      <c r="C359" s="14">
        <v>0.83</v>
      </c>
      <c r="D359">
        <v>750</v>
      </c>
      <c r="E359" s="26">
        <v>2.5</v>
      </c>
      <c r="F359">
        <v>886.2</v>
      </c>
      <c r="G359" s="27">
        <v>28.6</v>
      </c>
      <c r="H359" s="24">
        <f t="shared" si="36"/>
        <v>6.7972583406283222</v>
      </c>
      <c r="I359" s="25">
        <f t="shared" si="37"/>
        <v>1.372687562598035E-2</v>
      </c>
      <c r="J359" s="24">
        <f t="shared" si="38"/>
        <v>1.7236618643939595E-2</v>
      </c>
      <c r="K359" s="14">
        <v>1.27</v>
      </c>
      <c r="L359" s="27">
        <v>5.59</v>
      </c>
      <c r="M359" s="27">
        <v>2.54</v>
      </c>
      <c r="N359" s="4">
        <f t="shared" si="39"/>
        <v>2.2007874015748032</v>
      </c>
      <c r="O359" s="20">
        <f t="shared" si="40"/>
        <v>6.7349397590361448</v>
      </c>
      <c r="P359">
        <f t="shared" si="35"/>
        <v>1959.111804755245</v>
      </c>
    </row>
    <row r="360" spans="1:16">
      <c r="A360" t="s">
        <v>365</v>
      </c>
      <c r="B360" t="s">
        <v>518</v>
      </c>
      <c r="C360" s="14">
        <v>0.83</v>
      </c>
      <c r="D360">
        <v>500</v>
      </c>
      <c r="E360" s="26">
        <v>2.5</v>
      </c>
      <c r="F360">
        <v>886.2</v>
      </c>
      <c r="G360" s="27">
        <v>28.6</v>
      </c>
      <c r="H360" s="24">
        <f t="shared" si="36"/>
        <v>4.5315055604188821</v>
      </c>
      <c r="I360" s="25">
        <f t="shared" si="37"/>
        <v>6.1008336115468235E-3</v>
      </c>
      <c r="J360" s="24">
        <f t="shared" si="38"/>
        <v>1.7236618643939595E-2</v>
      </c>
      <c r="K360" s="14">
        <v>1.27</v>
      </c>
      <c r="L360" s="27">
        <v>5.26</v>
      </c>
      <c r="M360" s="27">
        <v>2.58</v>
      </c>
      <c r="N360" s="4">
        <f t="shared" si="39"/>
        <v>2.0387596899224807</v>
      </c>
      <c r="O360" s="20">
        <f t="shared" si="40"/>
        <v>6.3373493975903612</v>
      </c>
      <c r="P360">
        <f t="shared" si="35"/>
        <v>2021.3019742657348</v>
      </c>
    </row>
    <row r="361" spans="1:16">
      <c r="A361" t="s">
        <v>366</v>
      </c>
      <c r="B361" t="s">
        <v>518</v>
      </c>
      <c r="C361" s="14">
        <v>0.83</v>
      </c>
      <c r="D361">
        <v>250</v>
      </c>
      <c r="E361" s="26">
        <v>2.5</v>
      </c>
      <c r="F361">
        <v>886.2</v>
      </c>
      <c r="G361" s="27">
        <v>28.6</v>
      </c>
      <c r="H361" s="24">
        <f t="shared" si="36"/>
        <v>2.265752780209441</v>
      </c>
      <c r="I361" s="25">
        <f t="shared" si="37"/>
        <v>1.5252084028867059E-3</v>
      </c>
      <c r="J361" s="24">
        <f t="shared" si="38"/>
        <v>1.7236618643939595E-2</v>
      </c>
      <c r="K361" s="14">
        <v>1.27</v>
      </c>
      <c r="L361" s="27">
        <v>4.9000000000000004</v>
      </c>
      <c r="M361" s="27">
        <v>2.5299999999999998</v>
      </c>
      <c r="N361" s="4">
        <f t="shared" si="39"/>
        <v>1.9367588932806328</v>
      </c>
      <c r="O361" s="20">
        <f t="shared" si="40"/>
        <v>5.9036144578313259</v>
      </c>
      <c r="P361">
        <f t="shared" si="35"/>
        <v>1943.7160938461534</v>
      </c>
    </row>
    <row r="362" spans="1:16">
      <c r="A362" t="s">
        <v>367</v>
      </c>
      <c r="B362" t="s">
        <v>518</v>
      </c>
      <c r="C362" s="14">
        <v>0.83</v>
      </c>
      <c r="D362">
        <v>100</v>
      </c>
      <c r="E362" s="26">
        <v>2.5</v>
      </c>
      <c r="F362">
        <v>886.2</v>
      </c>
      <c r="G362" s="27">
        <v>28.6</v>
      </c>
      <c r="H362" s="24">
        <f t="shared" si="36"/>
        <v>0.90630111208377628</v>
      </c>
      <c r="I362" s="25">
        <f t="shared" si="37"/>
        <v>2.440333444618729E-4</v>
      </c>
      <c r="J362" s="24">
        <f t="shared" si="38"/>
        <v>1.7236618643939595E-2</v>
      </c>
      <c r="K362" s="14">
        <v>1.27</v>
      </c>
      <c r="L362" s="27">
        <v>4.8899999999999997</v>
      </c>
      <c r="M362" s="27">
        <v>2.5299999999999998</v>
      </c>
      <c r="N362" s="4">
        <f t="shared" si="39"/>
        <v>1.9328063241106719</v>
      </c>
      <c r="O362" s="20">
        <f t="shared" si="40"/>
        <v>5.8915662650602405</v>
      </c>
      <c r="P362">
        <f t="shared" si="35"/>
        <v>1943.7160938461534</v>
      </c>
    </row>
    <row r="363" spans="1:16">
      <c r="A363" t="s">
        <v>368</v>
      </c>
      <c r="B363" t="s">
        <v>518</v>
      </c>
      <c r="C363" s="14">
        <v>0.25</v>
      </c>
      <c r="D363">
        <v>1000</v>
      </c>
      <c r="E363" s="26">
        <v>2.5</v>
      </c>
      <c r="F363">
        <v>886.2</v>
      </c>
      <c r="G363" s="27">
        <v>28.6</v>
      </c>
      <c r="H363" s="24">
        <f t="shared" si="36"/>
        <v>30.089196921181372</v>
      </c>
      <c r="I363" s="25">
        <f t="shared" si="37"/>
        <v>0.89302460115085391</v>
      </c>
      <c r="J363" s="24">
        <f t="shared" si="38"/>
        <v>3.1406613856930395E-2</v>
      </c>
      <c r="K363" s="14">
        <v>0.51</v>
      </c>
      <c r="L363" s="27">
        <v>2.69</v>
      </c>
      <c r="M363" s="27">
        <v>2.04</v>
      </c>
      <c r="N363" s="4">
        <f t="shared" si="39"/>
        <v>1.3186274509803921</v>
      </c>
      <c r="O363" s="20">
        <f t="shared" si="40"/>
        <v>10.76</v>
      </c>
      <c r="P363">
        <f t="shared" si="35"/>
        <v>1263.723678881119</v>
      </c>
    </row>
    <row r="364" spans="1:16">
      <c r="A364" t="s">
        <v>369</v>
      </c>
      <c r="B364" t="s">
        <v>518</v>
      </c>
      <c r="C364" s="14">
        <v>0.25</v>
      </c>
      <c r="D364">
        <v>750</v>
      </c>
      <c r="E364" s="26">
        <v>2.5</v>
      </c>
      <c r="F364">
        <v>886.2</v>
      </c>
      <c r="G364" s="27">
        <v>28.6</v>
      </c>
      <c r="H364" s="24">
        <f t="shared" si="36"/>
        <v>22.56689769088603</v>
      </c>
      <c r="I364" s="25">
        <f t="shared" si="37"/>
        <v>0.50232633814735528</v>
      </c>
      <c r="J364" s="24">
        <f t="shared" si="38"/>
        <v>3.1406613856930395E-2</v>
      </c>
      <c r="K364" s="14">
        <v>0.51</v>
      </c>
      <c r="L364" s="27">
        <v>2.62</v>
      </c>
      <c r="M364" s="27">
        <v>2</v>
      </c>
      <c r="N364" s="4">
        <f t="shared" si="39"/>
        <v>1.31</v>
      </c>
      <c r="O364" s="20">
        <f t="shared" si="40"/>
        <v>10.48</v>
      </c>
      <c r="P364">
        <f t="shared" si="35"/>
        <v>1214.6517482517481</v>
      </c>
    </row>
    <row r="365" spans="1:16">
      <c r="A365" t="s">
        <v>370</v>
      </c>
      <c r="B365" t="s">
        <v>518</v>
      </c>
      <c r="C365" s="14">
        <v>0.25</v>
      </c>
      <c r="D365">
        <v>500</v>
      </c>
      <c r="E365" s="26">
        <v>2.5</v>
      </c>
      <c r="F365">
        <v>886.2</v>
      </c>
      <c r="G365" s="27">
        <v>28.6</v>
      </c>
      <c r="H365" s="24">
        <f t="shared" si="36"/>
        <v>15.044598460590686</v>
      </c>
      <c r="I365" s="25">
        <f t="shared" si="37"/>
        <v>0.22325615028771348</v>
      </c>
      <c r="J365" s="24">
        <f t="shared" si="38"/>
        <v>3.1406613856930395E-2</v>
      </c>
      <c r="K365" s="14">
        <v>0.51</v>
      </c>
      <c r="L365" s="27">
        <v>2.63</v>
      </c>
      <c r="M365" s="27">
        <v>2.0099999999999998</v>
      </c>
      <c r="N365" s="4">
        <f t="shared" si="39"/>
        <v>1.3084577114427862</v>
      </c>
      <c r="O365" s="20">
        <f t="shared" si="40"/>
        <v>10.52</v>
      </c>
      <c r="P365">
        <f t="shared" si="35"/>
        <v>1226.8286320279719</v>
      </c>
    </row>
    <row r="366" spans="1:16">
      <c r="A366" t="s">
        <v>371</v>
      </c>
      <c r="B366" t="s">
        <v>518</v>
      </c>
      <c r="C366" s="14">
        <v>0.25</v>
      </c>
      <c r="D366">
        <v>250</v>
      </c>
      <c r="E366" s="26">
        <v>2.5</v>
      </c>
      <c r="F366">
        <v>886.2</v>
      </c>
      <c r="G366" s="27">
        <v>28.6</v>
      </c>
      <c r="H366" s="24">
        <f t="shared" si="36"/>
        <v>7.5222992302953431</v>
      </c>
      <c r="I366" s="25">
        <f t="shared" si="37"/>
        <v>5.581403757192837E-2</v>
      </c>
      <c r="J366" s="24">
        <f t="shared" si="38"/>
        <v>3.1406613856930395E-2</v>
      </c>
      <c r="K366" s="14">
        <v>0.51</v>
      </c>
      <c r="L366" s="27">
        <v>2.63</v>
      </c>
      <c r="M366" s="27">
        <v>1.99</v>
      </c>
      <c r="N366" s="4">
        <f t="shared" si="39"/>
        <v>1.3216080402010051</v>
      </c>
      <c r="O366" s="20">
        <f t="shared" si="40"/>
        <v>10.52</v>
      </c>
      <c r="P366">
        <f t="shared" si="35"/>
        <v>1202.5355970629371</v>
      </c>
    </row>
    <row r="367" spans="1:16">
      <c r="A367" t="s">
        <v>372</v>
      </c>
      <c r="B367" t="s">
        <v>518</v>
      </c>
      <c r="C367" s="14">
        <v>0.25</v>
      </c>
      <c r="D367">
        <v>100</v>
      </c>
      <c r="E367" s="26">
        <v>2.5</v>
      </c>
      <c r="F367">
        <v>886.2</v>
      </c>
      <c r="G367" s="27">
        <v>28.6</v>
      </c>
      <c r="H367" s="24">
        <f t="shared" si="36"/>
        <v>3.0089196921181371</v>
      </c>
      <c r="I367" s="25">
        <f t="shared" si="37"/>
        <v>8.9302460115085382E-3</v>
      </c>
      <c r="J367" s="24">
        <f t="shared" si="38"/>
        <v>3.1406613856930395E-2</v>
      </c>
      <c r="K367" s="14">
        <v>0.51</v>
      </c>
      <c r="L367" s="27">
        <v>2.7</v>
      </c>
      <c r="M367" s="27">
        <v>2.0499999999999998</v>
      </c>
      <c r="N367" s="4">
        <f t="shared" si="39"/>
        <v>1.3170731707317076</v>
      </c>
      <c r="O367" s="20">
        <f t="shared" si="40"/>
        <v>10.8</v>
      </c>
      <c r="P367">
        <f t="shared" si="35"/>
        <v>1276.1434930069929</v>
      </c>
    </row>
    <row r="368" spans="1:16">
      <c r="A368" t="s">
        <v>373</v>
      </c>
      <c r="B368" t="s">
        <v>518</v>
      </c>
      <c r="C368" s="14">
        <v>0.1</v>
      </c>
      <c r="D368">
        <v>1000</v>
      </c>
      <c r="E368" s="26">
        <v>2.5</v>
      </c>
      <c r="F368">
        <v>886.2</v>
      </c>
      <c r="G368" s="27">
        <v>28.6</v>
      </c>
      <c r="H368" s="24">
        <f t="shared" si="36"/>
        <v>75.222992302953429</v>
      </c>
      <c r="I368" s="25">
        <f t="shared" si="37"/>
        <v>13.953509392982095</v>
      </c>
      <c r="J368" s="24">
        <f t="shared" si="38"/>
        <v>4.9658216690652832E-2</v>
      </c>
      <c r="K368" s="14">
        <v>0.24</v>
      </c>
      <c r="L368" s="27">
        <v>1.87</v>
      </c>
      <c r="M368" s="27">
        <v>1.57</v>
      </c>
      <c r="N368" s="4">
        <f t="shared" si="39"/>
        <v>1.1910828025477707</v>
      </c>
      <c r="O368" s="20">
        <f t="shared" si="40"/>
        <v>18.7</v>
      </c>
      <c r="P368">
        <f t="shared" si="35"/>
        <v>748.49877356643356</v>
      </c>
    </row>
    <row r="369" spans="1:16">
      <c r="A369" t="s">
        <v>374</v>
      </c>
      <c r="B369" t="s">
        <v>518</v>
      </c>
      <c r="C369" s="14">
        <v>0.1</v>
      </c>
      <c r="D369">
        <v>750</v>
      </c>
      <c r="E369" s="26">
        <v>2.5</v>
      </c>
      <c r="F369">
        <v>886.2</v>
      </c>
      <c r="G369" s="27">
        <v>28.6</v>
      </c>
      <c r="H369" s="24">
        <f t="shared" si="36"/>
        <v>56.417244227215072</v>
      </c>
      <c r="I369" s="25">
        <f t="shared" si="37"/>
        <v>7.848849033552427</v>
      </c>
      <c r="J369" s="24">
        <f t="shared" si="38"/>
        <v>4.9658216690652825E-2</v>
      </c>
      <c r="K369" s="14">
        <v>0.24</v>
      </c>
      <c r="L369" s="27">
        <v>1.87</v>
      </c>
      <c r="M369" s="27">
        <v>1.57</v>
      </c>
      <c r="N369" s="4">
        <f t="shared" si="39"/>
        <v>1.1910828025477707</v>
      </c>
      <c r="O369" s="20">
        <f t="shared" si="40"/>
        <v>18.7</v>
      </c>
      <c r="P369">
        <f t="shared" si="35"/>
        <v>748.49877356643356</v>
      </c>
    </row>
    <row r="370" spans="1:16">
      <c r="A370" t="s">
        <v>375</v>
      </c>
      <c r="B370" t="s">
        <v>518</v>
      </c>
      <c r="C370" s="14">
        <v>0.1</v>
      </c>
      <c r="D370">
        <v>500</v>
      </c>
      <c r="E370" s="26">
        <v>2.5</v>
      </c>
      <c r="F370">
        <v>886.2</v>
      </c>
      <c r="G370" s="27">
        <v>28.6</v>
      </c>
      <c r="H370" s="24">
        <f t="shared" si="36"/>
        <v>37.611496151476715</v>
      </c>
      <c r="I370" s="25">
        <f t="shared" si="37"/>
        <v>3.4883773482455238</v>
      </c>
      <c r="J370" s="24">
        <f t="shared" si="38"/>
        <v>4.9658216690652832E-2</v>
      </c>
      <c r="K370" s="14">
        <v>0.24</v>
      </c>
      <c r="L370" s="27">
        <v>1.92</v>
      </c>
      <c r="M370" s="27">
        <v>1.62</v>
      </c>
      <c r="N370" s="4">
        <f t="shared" si="39"/>
        <v>1.1851851851851851</v>
      </c>
      <c r="O370" s="20">
        <f t="shared" si="40"/>
        <v>19.2</v>
      </c>
      <c r="P370">
        <f t="shared" si="35"/>
        <v>796.93301202797227</v>
      </c>
    </row>
    <row r="371" spans="1:16">
      <c r="A371" t="s">
        <v>376</v>
      </c>
      <c r="B371" t="s">
        <v>518</v>
      </c>
      <c r="C371" s="14">
        <v>0.1</v>
      </c>
      <c r="D371">
        <v>250</v>
      </c>
      <c r="E371" s="26">
        <v>2.5</v>
      </c>
      <c r="F371">
        <v>886.2</v>
      </c>
      <c r="G371" s="27">
        <v>28.6</v>
      </c>
      <c r="H371" s="24">
        <f t="shared" si="36"/>
        <v>18.805748075738357</v>
      </c>
      <c r="I371" s="25">
        <f t="shared" si="37"/>
        <v>0.87209433706138095</v>
      </c>
      <c r="J371" s="24">
        <f t="shared" si="38"/>
        <v>4.9658216690652832E-2</v>
      </c>
      <c r="K371" s="14">
        <v>0.24</v>
      </c>
      <c r="L371" s="27">
        <v>1.85</v>
      </c>
      <c r="M371" s="27">
        <v>1.56</v>
      </c>
      <c r="N371" s="4">
        <f t="shared" si="39"/>
        <v>1.1858974358974359</v>
      </c>
      <c r="O371" s="20">
        <f t="shared" si="40"/>
        <v>18.5</v>
      </c>
      <c r="P371">
        <f t="shared" si="35"/>
        <v>738.99412363636384</v>
      </c>
    </row>
    <row r="372" spans="1:16">
      <c r="A372" t="s">
        <v>377</v>
      </c>
      <c r="B372" t="s">
        <v>518</v>
      </c>
      <c r="C372" s="14">
        <v>0.1</v>
      </c>
      <c r="D372">
        <v>100</v>
      </c>
      <c r="E372" s="26">
        <v>2.5</v>
      </c>
      <c r="F372">
        <v>886.2</v>
      </c>
      <c r="G372" s="27">
        <v>28.6</v>
      </c>
      <c r="H372" s="24">
        <f t="shared" si="36"/>
        <v>7.5222992302953431</v>
      </c>
      <c r="I372" s="25">
        <f t="shared" si="37"/>
        <v>0.13953509392982094</v>
      </c>
      <c r="J372" s="24">
        <f t="shared" si="38"/>
        <v>4.9658216690652825E-2</v>
      </c>
      <c r="K372" s="14">
        <v>0.24</v>
      </c>
      <c r="L372" s="27">
        <v>1.84</v>
      </c>
      <c r="M372" s="27">
        <v>1.56</v>
      </c>
      <c r="N372" s="4">
        <f t="shared" si="39"/>
        <v>1.1794871794871795</v>
      </c>
      <c r="O372" s="20">
        <f t="shared" si="40"/>
        <v>18.399999999999999</v>
      </c>
      <c r="P372">
        <f t="shared" si="35"/>
        <v>738.99412363636384</v>
      </c>
    </row>
    <row r="373" spans="1:16">
      <c r="A373" t="s">
        <v>378</v>
      </c>
      <c r="B373" t="s">
        <v>521</v>
      </c>
      <c r="C373" s="14">
        <v>2.38</v>
      </c>
      <c r="D373">
        <v>1000</v>
      </c>
      <c r="E373" s="26">
        <v>2.48</v>
      </c>
      <c r="F373">
        <v>927.2</v>
      </c>
      <c r="G373" s="27">
        <v>34.200000000000003</v>
      </c>
      <c r="H373" s="24">
        <f t="shared" si="36"/>
        <v>3.3335245151080999</v>
      </c>
      <c r="I373" s="25">
        <f t="shared" si="37"/>
        <v>9.0559534660353356E-4</v>
      </c>
      <c r="J373" s="24">
        <f t="shared" si="38"/>
        <v>9.0274156212619035E-3</v>
      </c>
      <c r="K373" s="14">
        <v>2.8</v>
      </c>
      <c r="L373" s="27">
        <v>9.57</v>
      </c>
      <c r="M373" s="27">
        <v>3.32</v>
      </c>
      <c r="N373" s="4">
        <f t="shared" si="39"/>
        <v>2.882530120481928</v>
      </c>
      <c r="O373" s="20">
        <f t="shared" si="40"/>
        <v>4.0210084033613445</v>
      </c>
      <c r="P373">
        <f t="shared" si="35"/>
        <v>2928.5292088888887</v>
      </c>
    </row>
    <row r="374" spans="1:16">
      <c r="A374" t="s">
        <v>379</v>
      </c>
      <c r="B374" t="s">
        <v>521</v>
      </c>
      <c r="C374" s="14">
        <v>2.38</v>
      </c>
      <c r="D374">
        <v>750</v>
      </c>
      <c r="E374" s="26">
        <v>2.48</v>
      </c>
      <c r="F374">
        <v>927.2</v>
      </c>
      <c r="G374" s="27">
        <v>34.200000000000003</v>
      </c>
      <c r="H374" s="24">
        <f t="shared" si="36"/>
        <v>2.5001433863310751</v>
      </c>
      <c r="I374" s="25">
        <f t="shared" si="37"/>
        <v>5.0939738246448746E-4</v>
      </c>
      <c r="J374" s="24">
        <f t="shared" si="38"/>
        <v>9.0274156212619E-3</v>
      </c>
      <c r="K374" s="14">
        <v>2.8</v>
      </c>
      <c r="L374" s="27">
        <v>9.48</v>
      </c>
      <c r="M374" s="27">
        <v>3.33</v>
      </c>
      <c r="N374" s="4">
        <f t="shared" si="39"/>
        <v>2.8468468468468471</v>
      </c>
      <c r="O374" s="20">
        <f t="shared" si="40"/>
        <v>3.9831932773109249</v>
      </c>
      <c r="P374">
        <f t="shared" si="35"/>
        <v>2946.1975199999997</v>
      </c>
    </row>
    <row r="375" spans="1:16">
      <c r="A375" t="s">
        <v>380</v>
      </c>
      <c r="B375" t="s">
        <v>520</v>
      </c>
      <c r="C375" s="14">
        <v>2.38</v>
      </c>
      <c r="D375">
        <v>500</v>
      </c>
      <c r="E375" s="26">
        <v>2.48</v>
      </c>
      <c r="F375">
        <v>927.2</v>
      </c>
      <c r="G375" s="27">
        <v>34.200000000000003</v>
      </c>
      <c r="H375" s="24">
        <f t="shared" si="36"/>
        <v>1.6667622575540499</v>
      </c>
      <c r="I375" s="25">
        <f t="shared" si="37"/>
        <v>2.2639883665088339E-4</v>
      </c>
      <c r="J375" s="24">
        <f t="shared" si="38"/>
        <v>9.0274156212619035E-3</v>
      </c>
      <c r="K375" s="14">
        <v>2.8</v>
      </c>
      <c r="L375" s="27">
        <v>9.43</v>
      </c>
      <c r="M375" s="27">
        <v>3.32</v>
      </c>
      <c r="N375" s="4">
        <f t="shared" si="39"/>
        <v>2.8403614457831328</v>
      </c>
      <c r="O375" s="20">
        <f t="shared" si="40"/>
        <v>3.96218487394958</v>
      </c>
      <c r="P375">
        <f t="shared" si="35"/>
        <v>2928.5292088888887</v>
      </c>
    </row>
    <row r="376" spans="1:16">
      <c r="A376" t="s">
        <v>381</v>
      </c>
      <c r="B376" t="s">
        <v>520</v>
      </c>
      <c r="C376" s="14">
        <v>2.38</v>
      </c>
      <c r="D376">
        <v>250</v>
      </c>
      <c r="E376" s="26">
        <v>2.48</v>
      </c>
      <c r="F376">
        <v>927.2</v>
      </c>
      <c r="G376" s="27">
        <v>34.200000000000003</v>
      </c>
      <c r="H376" s="24">
        <f t="shared" si="36"/>
        <v>0.83338112877702497</v>
      </c>
      <c r="I376" s="25">
        <f t="shared" si="37"/>
        <v>5.6599709162720847E-5</v>
      </c>
      <c r="J376" s="24">
        <f t="shared" si="38"/>
        <v>9.0274156212619035E-3</v>
      </c>
      <c r="K376" s="14">
        <v>2.8</v>
      </c>
      <c r="L376" s="27">
        <v>9.3699999999999992</v>
      </c>
      <c r="M376" s="27">
        <v>3.32</v>
      </c>
      <c r="N376" s="4">
        <f t="shared" si="39"/>
        <v>2.822289156626506</v>
      </c>
      <c r="O376" s="20">
        <f t="shared" si="40"/>
        <v>3.9369747899159662</v>
      </c>
      <c r="P376">
        <f t="shared" si="35"/>
        <v>2928.5292088888887</v>
      </c>
    </row>
    <row r="377" spans="1:16">
      <c r="A377" t="s">
        <v>382</v>
      </c>
      <c r="B377" t="s">
        <v>520</v>
      </c>
      <c r="C377" s="14">
        <v>2.38</v>
      </c>
      <c r="D377">
        <v>100</v>
      </c>
      <c r="E377" s="26">
        <v>2.48</v>
      </c>
      <c r="F377">
        <v>927.2</v>
      </c>
      <c r="G377" s="27">
        <v>34.200000000000003</v>
      </c>
      <c r="H377" s="24">
        <f t="shared" si="36"/>
        <v>0.33335245151081</v>
      </c>
      <c r="I377" s="25">
        <f t="shared" si="37"/>
        <v>9.0559534660353346E-6</v>
      </c>
      <c r="J377" s="24">
        <f t="shared" si="38"/>
        <v>9.0274156212619035E-3</v>
      </c>
      <c r="K377" s="14">
        <v>2.8</v>
      </c>
      <c r="L377" s="27">
        <v>9.18</v>
      </c>
      <c r="M377" s="27">
        <v>3.32</v>
      </c>
      <c r="N377" s="4">
        <f t="shared" si="39"/>
        <v>2.7650602409638556</v>
      </c>
      <c r="O377" s="20">
        <f t="shared" si="40"/>
        <v>3.8571428571428572</v>
      </c>
      <c r="P377">
        <f t="shared" si="35"/>
        <v>2928.5292088888887</v>
      </c>
    </row>
    <row r="378" spans="1:16">
      <c r="A378" t="s">
        <v>383</v>
      </c>
      <c r="B378" t="s">
        <v>520</v>
      </c>
      <c r="C378" s="14">
        <v>1.79</v>
      </c>
      <c r="D378">
        <v>1000</v>
      </c>
      <c r="E378" s="26">
        <v>2.48</v>
      </c>
      <c r="F378">
        <v>927.2</v>
      </c>
      <c r="G378" s="27">
        <v>34.200000000000003</v>
      </c>
      <c r="H378" s="24">
        <f t="shared" si="36"/>
        <v>4.432283992154904</v>
      </c>
      <c r="I378" s="25">
        <f t="shared" si="37"/>
        <v>2.1286583390269531E-3</v>
      </c>
      <c r="J378" s="24">
        <f t="shared" si="38"/>
        <v>1.0409392891500667E-2</v>
      </c>
      <c r="K378" s="14">
        <v>2.4</v>
      </c>
      <c r="L378" s="27">
        <v>8.32</v>
      </c>
      <c r="M378" s="27">
        <v>3.16</v>
      </c>
      <c r="N378" s="4">
        <f t="shared" si="39"/>
        <v>2.6329113924050631</v>
      </c>
      <c r="O378" s="20">
        <f t="shared" si="40"/>
        <v>4.6480446927374306</v>
      </c>
      <c r="P378">
        <f t="shared" si="35"/>
        <v>2653.0629688888889</v>
      </c>
    </row>
    <row r="379" spans="1:16">
      <c r="A379" t="s">
        <v>384</v>
      </c>
      <c r="B379" t="s">
        <v>520</v>
      </c>
      <c r="C379" s="14">
        <v>1.79</v>
      </c>
      <c r="D379">
        <v>750</v>
      </c>
      <c r="E379" s="26">
        <v>2.48</v>
      </c>
      <c r="F379">
        <v>927.2</v>
      </c>
      <c r="G379" s="27">
        <v>34.200000000000003</v>
      </c>
      <c r="H379" s="24">
        <f t="shared" si="36"/>
        <v>3.324212994116178</v>
      </c>
      <c r="I379" s="25">
        <f t="shared" si="37"/>
        <v>1.1973703157026607E-3</v>
      </c>
      <c r="J379" s="24">
        <f t="shared" si="38"/>
        <v>1.0409392891500665E-2</v>
      </c>
      <c r="K379" s="14">
        <v>2.4</v>
      </c>
      <c r="L379" s="27">
        <v>8.27</v>
      </c>
      <c r="M379" s="27">
        <v>3.15</v>
      </c>
      <c r="N379" s="4">
        <f t="shared" si="39"/>
        <v>2.6253968253968254</v>
      </c>
      <c r="O379" s="20">
        <f t="shared" si="40"/>
        <v>4.6201117318435747</v>
      </c>
      <c r="P379">
        <f t="shared" si="35"/>
        <v>2636.2979999999998</v>
      </c>
    </row>
    <row r="380" spans="1:16">
      <c r="A380" t="s">
        <v>385</v>
      </c>
      <c r="B380" t="s">
        <v>520</v>
      </c>
      <c r="C380" s="14">
        <v>1.79</v>
      </c>
      <c r="D380">
        <v>500</v>
      </c>
      <c r="E380" s="26">
        <v>2.48</v>
      </c>
      <c r="F380">
        <v>927.2</v>
      </c>
      <c r="G380" s="27">
        <v>34.200000000000003</v>
      </c>
      <c r="H380" s="24">
        <f t="shared" si="36"/>
        <v>2.216141996077452</v>
      </c>
      <c r="I380" s="25">
        <f t="shared" si="37"/>
        <v>5.3216458475673827E-4</v>
      </c>
      <c r="J380" s="24">
        <f t="shared" si="38"/>
        <v>1.0409392891500667E-2</v>
      </c>
      <c r="K380" s="14">
        <v>2.4</v>
      </c>
      <c r="L380" s="27">
        <v>8.18</v>
      </c>
      <c r="M380" s="27">
        <v>3.14</v>
      </c>
      <c r="N380" s="4">
        <f t="shared" si="39"/>
        <v>2.6050955414012735</v>
      </c>
      <c r="O380" s="20">
        <f t="shared" si="40"/>
        <v>4.5698324022346366</v>
      </c>
      <c r="P380">
        <f t="shared" si="35"/>
        <v>2619.5861688888895</v>
      </c>
    </row>
    <row r="381" spans="1:16">
      <c r="A381" t="s">
        <v>386</v>
      </c>
      <c r="B381" t="s">
        <v>520</v>
      </c>
      <c r="C381" s="14">
        <v>1.79</v>
      </c>
      <c r="D381">
        <v>250</v>
      </c>
      <c r="E381" s="26">
        <v>2.48</v>
      </c>
      <c r="F381">
        <v>927.2</v>
      </c>
      <c r="G381" s="27">
        <v>34.200000000000003</v>
      </c>
      <c r="H381" s="24">
        <f t="shared" si="36"/>
        <v>1.108070998038726</v>
      </c>
      <c r="I381" s="25">
        <f t="shared" si="37"/>
        <v>1.3304114618918457E-4</v>
      </c>
      <c r="J381" s="24">
        <f t="shared" si="38"/>
        <v>1.0409392891500667E-2</v>
      </c>
      <c r="K381" s="14">
        <v>2.4</v>
      </c>
      <c r="L381" s="27">
        <v>8.15</v>
      </c>
      <c r="M381" s="27">
        <v>3.13</v>
      </c>
      <c r="N381" s="4">
        <f t="shared" si="39"/>
        <v>2.6038338658146967</v>
      </c>
      <c r="O381" s="20">
        <f t="shared" si="40"/>
        <v>4.5530726256983245</v>
      </c>
      <c r="P381">
        <f t="shared" si="35"/>
        <v>2602.9274755555552</v>
      </c>
    </row>
    <row r="382" spans="1:16">
      <c r="A382" t="s">
        <v>387</v>
      </c>
      <c r="B382" t="s">
        <v>520</v>
      </c>
      <c r="C382" s="14">
        <v>1.79</v>
      </c>
      <c r="D382">
        <v>100</v>
      </c>
      <c r="E382" s="26">
        <v>2.48</v>
      </c>
      <c r="F382">
        <v>927.2</v>
      </c>
      <c r="G382" s="27">
        <v>34.200000000000003</v>
      </c>
      <c r="H382" s="24">
        <f t="shared" si="36"/>
        <v>0.4432283992154904</v>
      </c>
      <c r="I382" s="25">
        <f t="shared" si="37"/>
        <v>2.1286583390269526E-5</v>
      </c>
      <c r="J382" s="24">
        <f t="shared" si="38"/>
        <v>1.0409392891500667E-2</v>
      </c>
      <c r="K382" s="14">
        <v>2.4</v>
      </c>
      <c r="L382" s="27">
        <v>7.99</v>
      </c>
      <c r="M382" s="27">
        <v>3.11</v>
      </c>
      <c r="N382" s="4">
        <f t="shared" si="39"/>
        <v>2.569131832797428</v>
      </c>
      <c r="O382" s="20">
        <f t="shared" si="40"/>
        <v>4.4636871508379885</v>
      </c>
      <c r="P382">
        <f t="shared" si="35"/>
        <v>2569.7695022222219</v>
      </c>
    </row>
    <row r="383" spans="1:16">
      <c r="A383" t="s">
        <v>388</v>
      </c>
      <c r="B383" t="s">
        <v>520</v>
      </c>
      <c r="C383" s="14">
        <v>1.37</v>
      </c>
      <c r="D383">
        <v>1000</v>
      </c>
      <c r="E383" s="26">
        <v>2.48</v>
      </c>
      <c r="F383">
        <v>927.2</v>
      </c>
      <c r="G383" s="27">
        <v>34.200000000000003</v>
      </c>
      <c r="H383" s="24">
        <f t="shared" si="36"/>
        <v>5.7910863839104207</v>
      </c>
      <c r="I383" s="25">
        <f t="shared" si="37"/>
        <v>4.7479195542177617E-3</v>
      </c>
      <c r="J383" s="24">
        <f t="shared" si="38"/>
        <v>1.1898484049353567E-2</v>
      </c>
      <c r="K383" s="14">
        <v>1.8</v>
      </c>
      <c r="L383" s="27">
        <v>6.52</v>
      </c>
      <c r="M383" s="27">
        <v>2.93</v>
      </c>
      <c r="N383" s="4">
        <f t="shared" si="39"/>
        <v>2.2252559726962455</v>
      </c>
      <c r="O383" s="20">
        <f t="shared" si="40"/>
        <v>4.7591240875912399</v>
      </c>
      <c r="P383">
        <f t="shared" si="35"/>
        <v>2280.9125422222228</v>
      </c>
    </row>
    <row r="384" spans="1:16">
      <c r="A384" t="s">
        <v>389</v>
      </c>
      <c r="B384" t="s">
        <v>520</v>
      </c>
      <c r="C384" s="14">
        <v>1.37</v>
      </c>
      <c r="D384">
        <v>750</v>
      </c>
      <c r="E384" s="26">
        <v>2.48</v>
      </c>
      <c r="F384">
        <v>927.2</v>
      </c>
      <c r="G384" s="27">
        <v>34.200000000000003</v>
      </c>
      <c r="H384" s="24">
        <f t="shared" si="36"/>
        <v>4.3433147879328153</v>
      </c>
      <c r="I384" s="25">
        <f t="shared" si="37"/>
        <v>2.6707047492474903E-3</v>
      </c>
      <c r="J384" s="24">
        <f t="shared" si="38"/>
        <v>1.1898484049353567E-2</v>
      </c>
      <c r="K384" s="14">
        <v>1.8</v>
      </c>
      <c r="L384" s="27">
        <v>6.44</v>
      </c>
      <c r="M384" s="27">
        <v>2.94</v>
      </c>
      <c r="N384" s="4">
        <f t="shared" si="39"/>
        <v>2.1904761904761907</v>
      </c>
      <c r="O384" s="20">
        <f t="shared" si="40"/>
        <v>4.7007299270072993</v>
      </c>
      <c r="P384">
        <f t="shared" si="35"/>
        <v>2296.5084800000004</v>
      </c>
    </row>
    <row r="385" spans="1:16">
      <c r="A385" t="s">
        <v>390</v>
      </c>
      <c r="B385" t="s">
        <v>520</v>
      </c>
      <c r="C385" s="14">
        <v>1.37</v>
      </c>
      <c r="D385">
        <v>500</v>
      </c>
      <c r="E385" s="26">
        <v>2.48</v>
      </c>
      <c r="F385">
        <v>927.2</v>
      </c>
      <c r="G385" s="27">
        <v>34.200000000000003</v>
      </c>
      <c r="H385" s="24">
        <f t="shared" si="36"/>
        <v>2.8955431919552104</v>
      </c>
      <c r="I385" s="25">
        <f t="shared" si="37"/>
        <v>1.1869798885544404E-3</v>
      </c>
      <c r="J385" s="24">
        <f t="shared" si="38"/>
        <v>1.1898484049353567E-2</v>
      </c>
      <c r="K385" s="14">
        <v>1.8</v>
      </c>
      <c r="L385" s="27">
        <v>6.39</v>
      </c>
      <c r="M385" s="27">
        <v>2.93</v>
      </c>
      <c r="N385" s="4">
        <f t="shared" si="39"/>
        <v>2.1808873720136517</v>
      </c>
      <c r="O385" s="20">
        <f t="shared" si="40"/>
        <v>4.6642335766423351</v>
      </c>
      <c r="P385">
        <f t="shared" si="35"/>
        <v>2280.9125422222228</v>
      </c>
    </row>
    <row r="386" spans="1:16">
      <c r="A386" t="s">
        <v>391</v>
      </c>
      <c r="B386" t="s">
        <v>520</v>
      </c>
      <c r="C386" s="14">
        <v>1.37</v>
      </c>
      <c r="D386">
        <v>250</v>
      </c>
      <c r="E386" s="26">
        <v>2.48</v>
      </c>
      <c r="F386">
        <v>927.2</v>
      </c>
      <c r="G386" s="27">
        <v>34.200000000000003</v>
      </c>
      <c r="H386" s="24">
        <f t="shared" si="36"/>
        <v>1.4477715959776052</v>
      </c>
      <c r="I386" s="25">
        <f t="shared" si="37"/>
        <v>2.9674497213861011E-4</v>
      </c>
      <c r="J386" s="24">
        <f t="shared" si="38"/>
        <v>1.1898484049353567E-2</v>
      </c>
      <c r="K386" s="14">
        <v>1.8</v>
      </c>
      <c r="L386" s="27">
        <v>6.26</v>
      </c>
      <c r="M386" s="27">
        <v>2.93</v>
      </c>
      <c r="N386" s="4">
        <f t="shared" si="39"/>
        <v>2.1365187713310578</v>
      </c>
      <c r="O386" s="20">
        <f t="shared" si="40"/>
        <v>4.5693430656934302</v>
      </c>
      <c r="P386">
        <f t="shared" si="35"/>
        <v>2280.9125422222228</v>
      </c>
    </row>
    <row r="387" spans="1:16">
      <c r="A387" t="s">
        <v>392</v>
      </c>
      <c r="B387" t="s">
        <v>520</v>
      </c>
      <c r="C387" s="14">
        <v>1.37</v>
      </c>
      <c r="D387">
        <v>100</v>
      </c>
      <c r="E387" s="26">
        <v>2.48</v>
      </c>
      <c r="F387">
        <v>927.2</v>
      </c>
      <c r="G387" s="27">
        <v>34.200000000000003</v>
      </c>
      <c r="H387" s="24">
        <f t="shared" si="36"/>
        <v>0.5791086383910421</v>
      </c>
      <c r="I387" s="25">
        <f t="shared" si="37"/>
        <v>4.7479195542177608E-5</v>
      </c>
      <c r="J387" s="24">
        <f t="shared" si="38"/>
        <v>1.1898484049353565E-2</v>
      </c>
      <c r="K387" s="14">
        <v>1.8</v>
      </c>
      <c r="L387" s="27">
        <v>6.17</v>
      </c>
      <c r="M387" s="27">
        <v>2.9</v>
      </c>
      <c r="N387" s="4">
        <f t="shared" si="39"/>
        <v>2.1275862068965519</v>
      </c>
      <c r="O387" s="20">
        <f t="shared" si="40"/>
        <v>4.5036496350364956</v>
      </c>
      <c r="P387">
        <f t="shared" si="35"/>
        <v>2234.4435555555556</v>
      </c>
    </row>
    <row r="388" spans="1:16">
      <c r="A388" t="s">
        <v>393</v>
      </c>
      <c r="B388" t="s">
        <v>520</v>
      </c>
      <c r="C388" s="14">
        <v>0.83</v>
      </c>
      <c r="D388">
        <v>1000</v>
      </c>
      <c r="E388" s="26">
        <v>2.48</v>
      </c>
      <c r="F388">
        <v>927.2</v>
      </c>
      <c r="G388" s="27">
        <v>34.200000000000003</v>
      </c>
      <c r="H388" s="24">
        <f t="shared" si="36"/>
        <v>9.5587811397075644</v>
      </c>
      <c r="I388" s="25">
        <f t="shared" si="37"/>
        <v>2.1351617279680213E-2</v>
      </c>
      <c r="J388" s="24">
        <f t="shared" si="38"/>
        <v>1.5286669287505895E-2</v>
      </c>
      <c r="K388" s="14">
        <v>1.27</v>
      </c>
      <c r="L388" s="27">
        <v>4.84</v>
      </c>
      <c r="M388" s="27">
        <v>2.7</v>
      </c>
      <c r="N388" s="4">
        <f t="shared" si="39"/>
        <v>1.7925925925925925</v>
      </c>
      <c r="O388" s="20">
        <f t="shared" si="40"/>
        <v>5.831325301204819</v>
      </c>
      <c r="P388">
        <f t="shared" ref="P388:P451" si="41">F388*M388*M388*9.8/G388</f>
        <v>1936.8720000000003</v>
      </c>
    </row>
    <row r="389" spans="1:16">
      <c r="A389" t="s">
        <v>394</v>
      </c>
      <c r="B389" t="s">
        <v>520</v>
      </c>
      <c r="C389" s="14">
        <v>0.83</v>
      </c>
      <c r="D389">
        <v>750</v>
      </c>
      <c r="E389" s="26">
        <v>2.48</v>
      </c>
      <c r="F389">
        <v>927.2</v>
      </c>
      <c r="G389" s="27">
        <v>34.200000000000003</v>
      </c>
      <c r="H389" s="24">
        <f t="shared" si="36"/>
        <v>7.1690858547806737</v>
      </c>
      <c r="I389" s="25">
        <f t="shared" si="37"/>
        <v>1.2010284719820115E-2</v>
      </c>
      <c r="J389" s="24">
        <f t="shared" si="38"/>
        <v>1.5286669287505892E-2</v>
      </c>
      <c r="K389" s="14">
        <v>1.27</v>
      </c>
      <c r="L389" s="27">
        <v>4.82</v>
      </c>
      <c r="M389" s="27">
        <v>2.68</v>
      </c>
      <c r="N389" s="4">
        <f t="shared" si="39"/>
        <v>1.7985074626865671</v>
      </c>
      <c r="O389" s="20">
        <f t="shared" si="40"/>
        <v>5.8072289156626509</v>
      </c>
      <c r="P389">
        <f t="shared" si="41"/>
        <v>1908.2838755555558</v>
      </c>
    </row>
    <row r="390" spans="1:16">
      <c r="A390" t="s">
        <v>395</v>
      </c>
      <c r="B390" t="s">
        <v>520</v>
      </c>
      <c r="C390" s="14">
        <v>0.83</v>
      </c>
      <c r="D390">
        <v>500</v>
      </c>
      <c r="E390" s="26">
        <v>2.48</v>
      </c>
      <c r="F390">
        <v>927.2</v>
      </c>
      <c r="G390" s="27">
        <v>34.200000000000003</v>
      </c>
      <c r="H390" s="24">
        <f t="shared" si="36"/>
        <v>4.7793905698537822</v>
      </c>
      <c r="I390" s="25">
        <f t="shared" si="37"/>
        <v>5.3379043199200532E-3</v>
      </c>
      <c r="J390" s="24">
        <f t="shared" si="38"/>
        <v>1.5286669287505895E-2</v>
      </c>
      <c r="K390" s="14">
        <v>1.27</v>
      </c>
      <c r="L390" s="27">
        <v>4.7699999999999996</v>
      </c>
      <c r="M390" s="27">
        <v>2.65</v>
      </c>
      <c r="N390" s="4">
        <f t="shared" si="39"/>
        <v>1.7999999999999998</v>
      </c>
      <c r="O390" s="20">
        <f t="shared" si="40"/>
        <v>5.7469879518072284</v>
      </c>
      <c r="P390">
        <f t="shared" si="41"/>
        <v>1865.8002222222221</v>
      </c>
    </row>
    <row r="391" spans="1:16">
      <c r="A391" t="s">
        <v>396</v>
      </c>
      <c r="B391" t="s">
        <v>520</v>
      </c>
      <c r="C391" s="14">
        <v>0.83</v>
      </c>
      <c r="D391">
        <v>250</v>
      </c>
      <c r="E391" s="26">
        <v>2.48</v>
      </c>
      <c r="F391">
        <v>927.2</v>
      </c>
      <c r="G391" s="27">
        <v>34.200000000000003</v>
      </c>
      <c r="H391" s="24">
        <f t="shared" si="36"/>
        <v>2.3896952849268911</v>
      </c>
      <c r="I391" s="25">
        <f t="shared" si="37"/>
        <v>1.3344760799800133E-3</v>
      </c>
      <c r="J391" s="24">
        <f t="shared" si="38"/>
        <v>1.5286669287505895E-2</v>
      </c>
      <c r="K391" s="14">
        <v>1.27</v>
      </c>
      <c r="L391" s="27">
        <v>4.72</v>
      </c>
      <c r="M391" s="27">
        <v>2.68</v>
      </c>
      <c r="N391" s="4">
        <f t="shared" si="39"/>
        <v>1.761194029850746</v>
      </c>
      <c r="O391" s="20">
        <f t="shared" si="40"/>
        <v>5.6867469879518069</v>
      </c>
      <c r="P391">
        <f t="shared" si="41"/>
        <v>1908.2838755555558</v>
      </c>
    </row>
    <row r="392" spans="1:16">
      <c r="A392" t="s">
        <v>397</v>
      </c>
      <c r="B392" t="s">
        <v>520</v>
      </c>
      <c r="C392" s="14">
        <v>0.83</v>
      </c>
      <c r="D392">
        <v>100</v>
      </c>
      <c r="E392" s="26">
        <v>2.48</v>
      </c>
      <c r="F392">
        <v>927.2</v>
      </c>
      <c r="G392" s="27">
        <v>34.200000000000003</v>
      </c>
      <c r="H392" s="24">
        <f t="shared" si="36"/>
        <v>0.9558781139707565</v>
      </c>
      <c r="I392" s="25">
        <f t="shared" si="37"/>
        <v>2.1351617279680209E-4</v>
      </c>
      <c r="J392" s="24">
        <f t="shared" si="38"/>
        <v>1.5286669287505893E-2</v>
      </c>
      <c r="K392" s="14">
        <v>1.27</v>
      </c>
      <c r="L392" s="27">
        <v>4.67</v>
      </c>
      <c r="M392" s="27">
        <v>2.65</v>
      </c>
      <c r="N392" s="4">
        <f t="shared" si="39"/>
        <v>1.7622641509433963</v>
      </c>
      <c r="O392" s="20">
        <f t="shared" si="40"/>
        <v>5.6265060240963853</v>
      </c>
      <c r="P392">
        <f t="shared" si="41"/>
        <v>1865.8002222222221</v>
      </c>
    </row>
    <row r="393" spans="1:16">
      <c r="A393" t="s">
        <v>398</v>
      </c>
      <c r="B393" t="s">
        <v>520</v>
      </c>
      <c r="C393" s="14">
        <v>0.25</v>
      </c>
      <c r="D393">
        <v>1000</v>
      </c>
      <c r="E393" s="26">
        <v>2.48</v>
      </c>
      <c r="F393">
        <v>927.2</v>
      </c>
      <c r="G393" s="27">
        <v>34.200000000000003</v>
      </c>
      <c r="H393" s="24">
        <f t="shared" si="36"/>
        <v>31.735153383829108</v>
      </c>
      <c r="I393" s="25">
        <f t="shared" si="37"/>
        <v>0.78134894012777656</v>
      </c>
      <c r="J393" s="24">
        <f t="shared" si="38"/>
        <v>2.7853637038033518E-2</v>
      </c>
      <c r="K393" s="14">
        <v>0.51</v>
      </c>
      <c r="L393" s="27">
        <v>2.83</v>
      </c>
      <c r="M393" s="27">
        <v>2.16</v>
      </c>
      <c r="N393" s="4">
        <f t="shared" si="39"/>
        <v>1.3101851851851851</v>
      </c>
      <c r="O393" s="20">
        <f t="shared" si="40"/>
        <v>11.32</v>
      </c>
      <c r="P393">
        <f t="shared" si="41"/>
        <v>1239.59808</v>
      </c>
    </row>
    <row r="394" spans="1:16">
      <c r="A394" t="s">
        <v>399</v>
      </c>
      <c r="B394" t="s">
        <v>520</v>
      </c>
      <c r="C394" s="14">
        <v>0.25</v>
      </c>
      <c r="D394">
        <v>750</v>
      </c>
      <c r="E394" s="26">
        <v>2.48</v>
      </c>
      <c r="F394">
        <v>927.2</v>
      </c>
      <c r="G394" s="27">
        <v>34.200000000000003</v>
      </c>
      <c r="H394" s="24">
        <f t="shared" si="36"/>
        <v>23.801365037871832</v>
      </c>
      <c r="I394" s="25">
        <f t="shared" si="37"/>
        <v>0.43950877882187411</v>
      </c>
      <c r="J394" s="24">
        <f t="shared" si="38"/>
        <v>2.7853637038033511E-2</v>
      </c>
      <c r="K394" s="14">
        <v>0.51</v>
      </c>
      <c r="L394" s="27">
        <v>2.77</v>
      </c>
      <c r="M394" s="27">
        <v>2.11</v>
      </c>
      <c r="N394" s="4">
        <f t="shared" si="39"/>
        <v>1.3127962085308058</v>
      </c>
      <c r="O394" s="20">
        <f t="shared" si="40"/>
        <v>11.08</v>
      </c>
      <c r="P394">
        <f t="shared" si="41"/>
        <v>1182.8735022222222</v>
      </c>
    </row>
    <row r="395" spans="1:16">
      <c r="A395" t="s">
        <v>400</v>
      </c>
      <c r="B395" t="s">
        <v>520</v>
      </c>
      <c r="C395" s="14">
        <v>0.25</v>
      </c>
      <c r="D395">
        <v>500</v>
      </c>
      <c r="E395" s="26">
        <v>2.48</v>
      </c>
      <c r="F395">
        <v>927.2</v>
      </c>
      <c r="G395" s="27">
        <v>34.200000000000003</v>
      </c>
      <c r="H395" s="24">
        <f t="shared" si="36"/>
        <v>15.867576691914554</v>
      </c>
      <c r="I395" s="25">
        <f t="shared" si="37"/>
        <v>0.19533723503194414</v>
      </c>
      <c r="J395" s="24">
        <f t="shared" si="38"/>
        <v>2.7853637038033518E-2</v>
      </c>
      <c r="K395" s="14">
        <v>0.51</v>
      </c>
      <c r="L395" s="27">
        <v>2.71</v>
      </c>
      <c r="M395" s="27">
        <v>2.0699999999999998</v>
      </c>
      <c r="N395" s="4">
        <f t="shared" si="39"/>
        <v>1.3091787439613527</v>
      </c>
      <c r="O395" s="20">
        <f t="shared" si="40"/>
        <v>10.84</v>
      </c>
      <c r="P395">
        <f t="shared" si="41"/>
        <v>1138.4503199999999</v>
      </c>
    </row>
    <row r="396" spans="1:16">
      <c r="A396" t="s">
        <v>401</v>
      </c>
      <c r="B396" t="s">
        <v>520</v>
      </c>
      <c r="C396" s="14">
        <v>0.25</v>
      </c>
      <c r="D396">
        <v>250</v>
      </c>
      <c r="E396" s="26">
        <v>2.48</v>
      </c>
      <c r="F396">
        <v>927.2</v>
      </c>
      <c r="G396" s="27">
        <v>34.200000000000003</v>
      </c>
      <c r="H396" s="24">
        <f t="shared" si="36"/>
        <v>7.9337883459572769</v>
      </c>
      <c r="I396" s="25">
        <f t="shared" si="37"/>
        <v>4.8834308757986035E-2</v>
      </c>
      <c r="J396" s="24">
        <f t="shared" si="38"/>
        <v>2.7853637038033518E-2</v>
      </c>
      <c r="K396" s="14">
        <v>0.51</v>
      </c>
      <c r="L396" s="27">
        <v>2.69</v>
      </c>
      <c r="M396" s="27">
        <v>2.0699999999999998</v>
      </c>
      <c r="N396" s="4">
        <f t="shared" si="39"/>
        <v>1.2995169082125604</v>
      </c>
      <c r="O396" s="20">
        <f t="shared" si="40"/>
        <v>10.76</v>
      </c>
      <c r="P396">
        <f t="shared" si="41"/>
        <v>1138.4503199999999</v>
      </c>
    </row>
    <row r="397" spans="1:16">
      <c r="A397" t="s">
        <v>402</v>
      </c>
      <c r="B397" t="s">
        <v>520</v>
      </c>
      <c r="C397" s="14">
        <v>0.25</v>
      </c>
      <c r="D397">
        <v>100</v>
      </c>
      <c r="E397" s="26">
        <v>2.48</v>
      </c>
      <c r="F397">
        <v>927.2</v>
      </c>
      <c r="G397" s="27">
        <v>34.200000000000003</v>
      </c>
      <c r="H397" s="24">
        <f t="shared" si="36"/>
        <v>3.1735153383829111</v>
      </c>
      <c r="I397" s="25">
        <f t="shared" si="37"/>
        <v>7.8134894012777643E-3</v>
      </c>
      <c r="J397" s="24">
        <f t="shared" si="38"/>
        <v>2.7853637038033514E-2</v>
      </c>
      <c r="K397" s="14">
        <v>0.51</v>
      </c>
      <c r="L397" s="27">
        <v>2.77</v>
      </c>
      <c r="M397" s="27">
        <v>2.11</v>
      </c>
      <c r="N397" s="4">
        <f t="shared" si="39"/>
        <v>1.3127962085308058</v>
      </c>
      <c r="O397" s="20">
        <f t="shared" si="40"/>
        <v>11.08</v>
      </c>
      <c r="P397">
        <f t="shared" si="41"/>
        <v>1182.8735022222222</v>
      </c>
    </row>
    <row r="398" spans="1:16">
      <c r="A398" t="s">
        <v>403</v>
      </c>
      <c r="B398" t="s">
        <v>520</v>
      </c>
      <c r="C398" s="14">
        <v>0.1</v>
      </c>
      <c r="D398">
        <v>1000</v>
      </c>
      <c r="E398" s="26">
        <v>2.48</v>
      </c>
      <c r="F398">
        <v>927.2</v>
      </c>
      <c r="G398" s="27">
        <v>34.200000000000003</v>
      </c>
      <c r="H398" s="24">
        <f t="shared" si="36"/>
        <v>79.33788345957278</v>
      </c>
      <c r="I398" s="25">
        <f t="shared" si="37"/>
        <v>12.208577189496509</v>
      </c>
      <c r="J398" s="24">
        <f t="shared" si="38"/>
        <v>4.4040467079905971E-2</v>
      </c>
      <c r="K398" s="14">
        <v>0.24</v>
      </c>
      <c r="L398" s="27">
        <v>1.83</v>
      </c>
      <c r="M398" s="27">
        <v>1.58</v>
      </c>
      <c r="N398" s="4">
        <f t="shared" si="39"/>
        <v>1.1582278481012658</v>
      </c>
      <c r="O398" s="20">
        <f t="shared" si="40"/>
        <v>18.3</v>
      </c>
      <c r="P398">
        <f t="shared" si="41"/>
        <v>663.26574222222223</v>
      </c>
    </row>
    <row r="399" spans="1:16">
      <c r="A399" t="s">
        <v>404</v>
      </c>
      <c r="B399" t="s">
        <v>520</v>
      </c>
      <c r="C399" s="14">
        <v>0.1</v>
      </c>
      <c r="D399">
        <v>750</v>
      </c>
      <c r="E399" s="26">
        <v>2.48</v>
      </c>
      <c r="F399">
        <v>927.2</v>
      </c>
      <c r="G399" s="27">
        <v>34.200000000000003</v>
      </c>
      <c r="H399" s="24">
        <f t="shared" si="36"/>
        <v>59.503412594679588</v>
      </c>
      <c r="I399" s="25">
        <f t="shared" si="37"/>
        <v>6.8673246690917837</v>
      </c>
      <c r="J399" s="24">
        <f t="shared" si="38"/>
        <v>4.4040467079905957E-2</v>
      </c>
      <c r="K399" s="14">
        <v>0.24</v>
      </c>
      <c r="L399" s="27">
        <v>1.84</v>
      </c>
      <c r="M399" s="27">
        <v>1.58</v>
      </c>
      <c r="N399" s="4">
        <f t="shared" si="39"/>
        <v>1.1645569620253164</v>
      </c>
      <c r="O399" s="20">
        <f t="shared" si="40"/>
        <v>18.399999999999999</v>
      </c>
      <c r="P399">
        <f t="shared" si="41"/>
        <v>663.26574222222223</v>
      </c>
    </row>
    <row r="400" spans="1:16">
      <c r="A400" t="s">
        <v>405</v>
      </c>
      <c r="B400" t="s">
        <v>520</v>
      </c>
      <c r="C400" s="14">
        <v>0.1</v>
      </c>
      <c r="D400">
        <v>500</v>
      </c>
      <c r="E400" s="26">
        <v>2.48</v>
      </c>
      <c r="F400">
        <v>927.2</v>
      </c>
      <c r="G400" s="27">
        <v>34.200000000000003</v>
      </c>
      <c r="H400" s="24">
        <f t="shared" si="36"/>
        <v>39.66894172978639</v>
      </c>
      <c r="I400" s="25">
        <f t="shared" si="37"/>
        <v>3.0521442973741273</v>
      </c>
      <c r="J400" s="24">
        <f t="shared" si="38"/>
        <v>4.4040467079905971E-2</v>
      </c>
      <c r="K400" s="14">
        <v>0.24</v>
      </c>
      <c r="L400" s="27">
        <v>2.02</v>
      </c>
      <c r="M400" s="27">
        <v>1.71</v>
      </c>
      <c r="N400" s="4">
        <f t="shared" si="39"/>
        <v>1.1812865497076024</v>
      </c>
      <c r="O400" s="20">
        <f t="shared" si="40"/>
        <v>20.2</v>
      </c>
      <c r="P400">
        <f t="shared" si="41"/>
        <v>776.90088000000003</v>
      </c>
    </row>
    <row r="401" spans="1:16">
      <c r="A401" t="s">
        <v>406</v>
      </c>
      <c r="B401" t="s">
        <v>520</v>
      </c>
      <c r="C401" s="14">
        <v>0.1</v>
      </c>
      <c r="D401">
        <v>250</v>
      </c>
      <c r="E401" s="26">
        <v>2.48</v>
      </c>
      <c r="F401">
        <v>927.2</v>
      </c>
      <c r="G401" s="27">
        <v>34.200000000000003</v>
      </c>
      <c r="H401" s="24">
        <f t="shared" si="36"/>
        <v>19.834470864893195</v>
      </c>
      <c r="I401" s="25">
        <f t="shared" si="37"/>
        <v>0.76303607434353182</v>
      </c>
      <c r="J401" s="24">
        <f t="shared" si="38"/>
        <v>4.4040467079905971E-2</v>
      </c>
      <c r="K401" s="14">
        <v>0.24</v>
      </c>
      <c r="L401" s="27">
        <v>2.0299999999999998</v>
      </c>
      <c r="M401" s="27">
        <v>1.71</v>
      </c>
      <c r="N401" s="4">
        <f t="shared" si="39"/>
        <v>1.1871345029239766</v>
      </c>
      <c r="O401" s="20">
        <f t="shared" si="40"/>
        <v>20.299999999999997</v>
      </c>
      <c r="P401">
        <f t="shared" si="41"/>
        <v>776.90088000000003</v>
      </c>
    </row>
    <row r="402" spans="1:16">
      <c r="A402" t="s">
        <v>407</v>
      </c>
      <c r="B402" t="s">
        <v>520</v>
      </c>
      <c r="C402" s="14">
        <v>0.1</v>
      </c>
      <c r="D402">
        <v>100</v>
      </c>
      <c r="E402" s="26">
        <v>2.48</v>
      </c>
      <c r="F402">
        <v>927.2</v>
      </c>
      <c r="G402" s="27">
        <v>34.200000000000003</v>
      </c>
      <c r="H402" s="24">
        <f t="shared" si="36"/>
        <v>7.9337883459572787</v>
      </c>
      <c r="I402" s="25">
        <f t="shared" si="37"/>
        <v>0.12208577189496507</v>
      </c>
      <c r="J402" s="24">
        <f t="shared" si="38"/>
        <v>4.4040467079905957E-2</v>
      </c>
      <c r="K402" s="14">
        <v>0.24</v>
      </c>
      <c r="L402" s="27">
        <v>2.02</v>
      </c>
      <c r="M402" s="27">
        <v>1.71</v>
      </c>
      <c r="N402" s="4">
        <f t="shared" si="39"/>
        <v>1.1812865497076024</v>
      </c>
      <c r="O402" s="20">
        <f t="shared" si="40"/>
        <v>20.2</v>
      </c>
      <c r="P402">
        <f t="shared" si="41"/>
        <v>776.90088000000003</v>
      </c>
    </row>
    <row r="403" spans="1:16">
      <c r="A403" t="s">
        <v>408</v>
      </c>
      <c r="B403" t="s">
        <v>523</v>
      </c>
      <c r="C403" s="14">
        <v>2.38</v>
      </c>
      <c r="D403">
        <v>1000</v>
      </c>
      <c r="E403" s="26">
        <v>1.4212499999999999</v>
      </c>
      <c r="F403">
        <v>950.8</v>
      </c>
      <c r="G403" s="27">
        <v>50.4</v>
      </c>
      <c r="H403" s="24">
        <f t="shared" si="36"/>
        <v>5.9648648299702298</v>
      </c>
      <c r="I403" s="25">
        <f t="shared" si="37"/>
        <v>6.3015226547909805E-4</v>
      </c>
      <c r="J403" s="24">
        <f t="shared" si="38"/>
        <v>4.2084497351203808E-3</v>
      </c>
      <c r="K403" s="14">
        <v>2.8</v>
      </c>
      <c r="L403" s="27">
        <v>9.52</v>
      </c>
      <c r="M403" s="27">
        <v>3.77</v>
      </c>
      <c r="N403" s="4">
        <f t="shared" si="39"/>
        <v>2.5251989389920424</v>
      </c>
      <c r="O403" s="20">
        <f t="shared" si="40"/>
        <v>4</v>
      </c>
      <c r="P403">
        <f t="shared" si="41"/>
        <v>2627.649367777778</v>
      </c>
    </row>
    <row r="404" spans="1:16">
      <c r="A404" t="s">
        <v>409</v>
      </c>
      <c r="B404" t="s">
        <v>523</v>
      </c>
      <c r="C404" s="14">
        <v>2.38</v>
      </c>
      <c r="D404">
        <v>750</v>
      </c>
      <c r="E404" s="26">
        <v>1.4212499999999999</v>
      </c>
      <c r="F404">
        <v>950.8</v>
      </c>
      <c r="G404" s="27">
        <v>50.4</v>
      </c>
      <c r="H404" s="24">
        <f t="shared" ref="H404:H467" si="42">(4/60*F404*D404*10^(-9))/(PI()*C404*E404*10^(-6))</f>
        <v>4.4736486224776719</v>
      </c>
      <c r="I404" s="25">
        <f t="shared" ref="I404:I467" si="43">(16 * F404 * (D404 * 10^-9 / 60)^2) / (PI()^2 * (C404 * 10^-3)^3 * (G404 * 10^-3))</f>
        <v>3.5446064933199254E-4</v>
      </c>
      <c r="J404" s="24">
        <f t="shared" si="38"/>
        <v>4.2084497351203808E-3</v>
      </c>
      <c r="K404" s="14">
        <v>2.8</v>
      </c>
      <c r="L404" s="27">
        <v>9.6199999999999992</v>
      </c>
      <c r="M404" s="27">
        <v>3.75</v>
      </c>
      <c r="N404" s="4">
        <f t="shared" si="39"/>
        <v>2.5653333333333332</v>
      </c>
      <c r="O404" s="20">
        <f t="shared" si="40"/>
        <v>4.0420168067226889</v>
      </c>
      <c r="P404">
        <f t="shared" si="41"/>
        <v>2599.8437500000005</v>
      </c>
    </row>
    <row r="405" spans="1:16">
      <c r="A405" t="s">
        <v>410</v>
      </c>
      <c r="B405" t="s">
        <v>522</v>
      </c>
      <c r="C405" s="14">
        <v>2.38</v>
      </c>
      <c r="D405">
        <v>500</v>
      </c>
      <c r="E405" s="26">
        <v>1.4212499999999999</v>
      </c>
      <c r="F405">
        <v>950.8</v>
      </c>
      <c r="G405" s="27">
        <v>50.4</v>
      </c>
      <c r="H405" s="24">
        <f t="shared" si="42"/>
        <v>2.9824324149851149</v>
      </c>
      <c r="I405" s="25">
        <f t="shared" si="43"/>
        <v>1.5753806636977451E-4</v>
      </c>
      <c r="J405" s="24">
        <f t="shared" si="38"/>
        <v>4.2084497351203808E-3</v>
      </c>
      <c r="K405" s="14">
        <v>2.8</v>
      </c>
      <c r="L405" s="27">
        <v>9.6300000000000008</v>
      </c>
      <c r="M405" s="27">
        <v>3.75</v>
      </c>
      <c r="N405" s="4">
        <f t="shared" si="39"/>
        <v>2.5680000000000001</v>
      </c>
      <c r="O405" s="20">
        <f t="shared" si="40"/>
        <v>4.0462184873949587</v>
      </c>
      <c r="P405">
        <f t="shared" si="41"/>
        <v>2599.8437500000005</v>
      </c>
    </row>
    <row r="406" spans="1:16">
      <c r="A406" t="s">
        <v>411</v>
      </c>
      <c r="B406" t="s">
        <v>522</v>
      </c>
      <c r="C406" s="14">
        <v>2.38</v>
      </c>
      <c r="D406">
        <v>250</v>
      </c>
      <c r="E406" s="26">
        <v>1.4212499999999999</v>
      </c>
      <c r="F406">
        <v>950.8</v>
      </c>
      <c r="G406" s="27">
        <v>50.4</v>
      </c>
      <c r="H406" s="24">
        <f t="shared" si="42"/>
        <v>1.4912162074925575</v>
      </c>
      <c r="I406" s="25">
        <f t="shared" si="43"/>
        <v>3.9384516592443628E-5</v>
      </c>
      <c r="J406" s="24">
        <f t="shared" si="38"/>
        <v>4.2084497351203808E-3</v>
      </c>
      <c r="K406" s="14">
        <v>2.8</v>
      </c>
      <c r="L406" s="27">
        <v>9.44</v>
      </c>
      <c r="M406" s="27">
        <v>3.74</v>
      </c>
      <c r="N406" s="4">
        <f t="shared" si="39"/>
        <v>2.5240641711229945</v>
      </c>
      <c r="O406" s="20">
        <f t="shared" si="40"/>
        <v>3.9663865546218489</v>
      </c>
      <c r="P406">
        <f t="shared" si="41"/>
        <v>2585.996404444445</v>
      </c>
    </row>
    <row r="407" spans="1:16">
      <c r="A407" t="s">
        <v>412</v>
      </c>
      <c r="B407" t="s">
        <v>522</v>
      </c>
      <c r="C407" s="14">
        <v>2.38</v>
      </c>
      <c r="D407">
        <v>100</v>
      </c>
      <c r="E407" s="26">
        <v>1.4212499999999999</v>
      </c>
      <c r="F407">
        <v>950.8</v>
      </c>
      <c r="G407" s="27">
        <v>50.4</v>
      </c>
      <c r="H407" s="24">
        <f t="shared" si="42"/>
        <v>0.59648648299702289</v>
      </c>
      <c r="I407" s="25">
        <f t="shared" si="43"/>
        <v>6.3015226547909796E-6</v>
      </c>
      <c r="J407" s="24">
        <f t="shared" si="38"/>
        <v>4.2084497351203816E-3</v>
      </c>
      <c r="K407" s="14">
        <v>2.8</v>
      </c>
      <c r="L407" s="27">
        <v>9.42</v>
      </c>
      <c r="M407" s="27">
        <v>3.72</v>
      </c>
      <c r="N407" s="4">
        <f t="shared" si="39"/>
        <v>2.532258064516129</v>
      </c>
      <c r="O407" s="20">
        <f t="shared" si="40"/>
        <v>3.9579831932773111</v>
      </c>
      <c r="P407">
        <f t="shared" si="41"/>
        <v>2558.4126400000005</v>
      </c>
    </row>
    <row r="408" spans="1:16">
      <c r="A408" t="s">
        <v>413</v>
      </c>
      <c r="B408" t="s">
        <v>522</v>
      </c>
      <c r="C408" s="14">
        <v>1.79</v>
      </c>
      <c r="D408">
        <v>1000</v>
      </c>
      <c r="E408" s="26">
        <v>1.4212499999999999</v>
      </c>
      <c r="F408">
        <v>950.8</v>
      </c>
      <c r="G408" s="27">
        <v>50.4</v>
      </c>
      <c r="H408" s="24">
        <f t="shared" si="42"/>
        <v>7.9309375951559486</v>
      </c>
      <c r="I408" s="25">
        <f t="shared" si="43"/>
        <v>1.481212199024317E-3</v>
      </c>
      <c r="J408" s="24">
        <f t="shared" si="38"/>
        <v>4.8527074187015564E-3</v>
      </c>
      <c r="K408" s="14">
        <v>2.4</v>
      </c>
      <c r="L408" s="27">
        <v>8.33</v>
      </c>
      <c r="M408" s="27">
        <v>3.52</v>
      </c>
      <c r="N408" s="4">
        <f t="shared" si="39"/>
        <v>2.3664772727272729</v>
      </c>
      <c r="O408" s="20">
        <f t="shared" si="40"/>
        <v>4.6536312849162007</v>
      </c>
      <c r="P408">
        <f t="shared" si="41"/>
        <v>2290.7096177777776</v>
      </c>
    </row>
    <row r="409" spans="1:16">
      <c r="A409" t="s">
        <v>414</v>
      </c>
      <c r="B409" t="s">
        <v>522</v>
      </c>
      <c r="C409" s="14">
        <v>1.79</v>
      </c>
      <c r="D409">
        <v>750</v>
      </c>
      <c r="E409" s="26">
        <v>1.4212499999999999</v>
      </c>
      <c r="F409">
        <v>950.8</v>
      </c>
      <c r="G409" s="27">
        <v>50.4</v>
      </c>
      <c r="H409" s="24">
        <f t="shared" si="42"/>
        <v>5.9482031963669604</v>
      </c>
      <c r="I409" s="25">
        <f t="shared" si="43"/>
        <v>8.3318186195117797E-4</v>
      </c>
      <c r="J409" s="24">
        <f t="shared" si="38"/>
        <v>4.8527074187015556E-3</v>
      </c>
      <c r="K409" s="14">
        <v>2.4</v>
      </c>
      <c r="L409" s="27">
        <v>8.3699999999999992</v>
      </c>
      <c r="M409" s="27">
        <v>3.57</v>
      </c>
      <c r="N409" s="4">
        <f t="shared" si="39"/>
        <v>2.3445378151260501</v>
      </c>
      <c r="O409" s="20">
        <f t="shared" si="40"/>
        <v>4.6759776536312847</v>
      </c>
      <c r="P409">
        <f t="shared" si="41"/>
        <v>2356.2487900000001</v>
      </c>
    </row>
    <row r="410" spans="1:16">
      <c r="A410" t="s">
        <v>415</v>
      </c>
      <c r="B410" t="s">
        <v>522</v>
      </c>
      <c r="C410" s="14">
        <v>1.79</v>
      </c>
      <c r="D410">
        <v>500</v>
      </c>
      <c r="E410" s="26">
        <v>1.4212499999999999</v>
      </c>
      <c r="F410">
        <v>950.8</v>
      </c>
      <c r="G410" s="27">
        <v>50.4</v>
      </c>
      <c r="H410" s="24">
        <f t="shared" si="42"/>
        <v>3.9654687975779743</v>
      </c>
      <c r="I410" s="25">
        <f t="shared" si="43"/>
        <v>3.7030304975607924E-4</v>
      </c>
      <c r="J410" s="24">
        <f t="shared" si="38"/>
        <v>4.8527074187015564E-3</v>
      </c>
      <c r="K410" s="14">
        <v>2.4</v>
      </c>
      <c r="L410" s="27">
        <v>8.26</v>
      </c>
      <c r="M410" s="27">
        <v>3.56</v>
      </c>
      <c r="N410" s="4">
        <f t="shared" si="39"/>
        <v>2.3202247191011236</v>
      </c>
      <c r="O410" s="20">
        <f t="shared" si="40"/>
        <v>4.6145251396648046</v>
      </c>
      <c r="P410">
        <f t="shared" si="41"/>
        <v>2343.0670044444446</v>
      </c>
    </row>
    <row r="411" spans="1:16">
      <c r="A411" t="s">
        <v>416</v>
      </c>
      <c r="B411" t="s">
        <v>522</v>
      </c>
      <c r="C411" s="14">
        <v>1.79</v>
      </c>
      <c r="D411">
        <v>250</v>
      </c>
      <c r="E411" s="26">
        <v>1.4212499999999999</v>
      </c>
      <c r="F411">
        <v>950.8</v>
      </c>
      <c r="G411" s="27">
        <v>50.4</v>
      </c>
      <c r="H411" s="24">
        <f t="shared" si="42"/>
        <v>1.9827343987889872</v>
      </c>
      <c r="I411" s="25">
        <f t="shared" si="43"/>
        <v>9.2575762439019811E-5</v>
      </c>
      <c r="J411" s="24">
        <f t="shared" si="38"/>
        <v>4.8527074187015564E-3</v>
      </c>
      <c r="K411" s="14">
        <v>2.4</v>
      </c>
      <c r="L411" s="27">
        <v>8.2100000000000009</v>
      </c>
      <c r="M411" s="27">
        <v>3.54</v>
      </c>
      <c r="N411" s="4">
        <f t="shared" si="39"/>
        <v>2.3192090395480229</v>
      </c>
      <c r="O411" s="20">
        <f t="shared" si="40"/>
        <v>4.5865921787709505</v>
      </c>
      <c r="P411">
        <f t="shared" si="41"/>
        <v>2316.8143600000003</v>
      </c>
    </row>
    <row r="412" spans="1:16">
      <c r="A412" t="s">
        <v>417</v>
      </c>
      <c r="B412" t="s">
        <v>522</v>
      </c>
      <c r="C412" s="14">
        <v>1.79</v>
      </c>
      <c r="D412">
        <v>100</v>
      </c>
      <c r="E412" s="26">
        <v>1.4212499999999999</v>
      </c>
      <c r="F412">
        <v>950.8</v>
      </c>
      <c r="G412" s="27">
        <v>50.4</v>
      </c>
      <c r="H412" s="24">
        <f t="shared" si="42"/>
        <v>0.79309375951559469</v>
      </c>
      <c r="I412" s="25">
        <f t="shared" si="43"/>
        <v>1.4812121990243167E-5</v>
      </c>
      <c r="J412" s="24">
        <f t="shared" si="38"/>
        <v>4.8527074187015564E-3</v>
      </c>
      <c r="K412" s="14">
        <v>2.4</v>
      </c>
      <c r="L412" s="27">
        <v>8.1999999999999993</v>
      </c>
      <c r="M412" s="27">
        <v>3.53</v>
      </c>
      <c r="N412" s="4">
        <f t="shared" si="39"/>
        <v>2.3229461756373935</v>
      </c>
      <c r="O412" s="20">
        <f t="shared" si="40"/>
        <v>4.5810055865921786</v>
      </c>
      <c r="P412">
        <f t="shared" si="41"/>
        <v>2303.7435011111111</v>
      </c>
    </row>
    <row r="413" spans="1:16">
      <c r="A413" t="s">
        <v>418</v>
      </c>
      <c r="B413" t="s">
        <v>522</v>
      </c>
      <c r="C413" s="14">
        <v>1.37</v>
      </c>
      <c r="D413">
        <v>1000</v>
      </c>
      <c r="E413" s="26">
        <v>1.4212499999999999</v>
      </c>
      <c r="F413">
        <v>950.8</v>
      </c>
      <c r="G413" s="27">
        <v>50.4</v>
      </c>
      <c r="H413" s="24">
        <f t="shared" si="42"/>
        <v>10.362319923597916</v>
      </c>
      <c r="I413" s="25">
        <f t="shared" si="43"/>
        <v>3.3038070200162818E-3</v>
      </c>
      <c r="J413" s="24">
        <f t="shared" si="38"/>
        <v>5.546900037248584E-3</v>
      </c>
      <c r="K413" s="14">
        <v>1.8</v>
      </c>
      <c r="L413" s="27">
        <v>6.79</v>
      </c>
      <c r="M413" s="27">
        <v>3.35</v>
      </c>
      <c r="N413" s="4">
        <f t="shared" si="39"/>
        <v>2.026865671641791</v>
      </c>
      <c r="O413" s="20">
        <f t="shared" si="40"/>
        <v>4.9562043795620436</v>
      </c>
      <c r="P413">
        <f t="shared" si="41"/>
        <v>2074.7908611111111</v>
      </c>
    </row>
    <row r="414" spans="1:16">
      <c r="A414" t="s">
        <v>419</v>
      </c>
      <c r="B414" t="s">
        <v>522</v>
      </c>
      <c r="C414" s="14">
        <v>1.37</v>
      </c>
      <c r="D414">
        <v>750</v>
      </c>
      <c r="E414" s="26">
        <v>1.4212499999999999</v>
      </c>
      <c r="F414">
        <v>950.8</v>
      </c>
      <c r="G414" s="27">
        <v>50.4</v>
      </c>
      <c r="H414" s="24">
        <f t="shared" si="42"/>
        <v>7.7717399426984368</v>
      </c>
      <c r="I414" s="25">
        <f t="shared" si="43"/>
        <v>1.8583914487591579E-3</v>
      </c>
      <c r="J414" s="24">
        <f t="shared" si="38"/>
        <v>5.5469000372485831E-3</v>
      </c>
      <c r="K414" s="14">
        <v>1.8</v>
      </c>
      <c r="L414" s="27">
        <v>6.63</v>
      </c>
      <c r="M414" s="27">
        <v>3.32</v>
      </c>
      <c r="N414" s="4">
        <f t="shared" si="39"/>
        <v>1.9969879518072289</v>
      </c>
      <c r="O414" s="20">
        <f t="shared" si="40"/>
        <v>4.8394160583941606</v>
      </c>
      <c r="P414">
        <f t="shared" si="41"/>
        <v>2037.7968177777777</v>
      </c>
    </row>
    <row r="415" spans="1:16">
      <c r="A415" t="s">
        <v>420</v>
      </c>
      <c r="B415" t="s">
        <v>522</v>
      </c>
      <c r="C415" s="14">
        <v>1.37</v>
      </c>
      <c r="D415">
        <v>500</v>
      </c>
      <c r="E415" s="26">
        <v>1.4212499999999999</v>
      </c>
      <c r="F415">
        <v>950.8</v>
      </c>
      <c r="G415" s="27">
        <v>50.4</v>
      </c>
      <c r="H415" s="24">
        <f t="shared" si="42"/>
        <v>5.1811599617989579</v>
      </c>
      <c r="I415" s="25">
        <f t="shared" si="43"/>
        <v>8.2595175500407045E-4</v>
      </c>
      <c r="J415" s="24">
        <f t="shared" si="38"/>
        <v>5.546900037248584E-3</v>
      </c>
      <c r="K415" s="14">
        <v>1.8</v>
      </c>
      <c r="L415" s="27">
        <v>6.65</v>
      </c>
      <c r="M415" s="27">
        <v>3.32</v>
      </c>
      <c r="N415" s="4">
        <f t="shared" si="39"/>
        <v>2.0030120481927711</v>
      </c>
      <c r="O415" s="20">
        <f t="shared" si="40"/>
        <v>4.8540145985401457</v>
      </c>
      <c r="P415">
        <f t="shared" si="41"/>
        <v>2037.7968177777777</v>
      </c>
    </row>
    <row r="416" spans="1:16">
      <c r="A416" t="s">
        <v>421</v>
      </c>
      <c r="B416" t="s">
        <v>522</v>
      </c>
      <c r="C416" s="14">
        <v>1.37</v>
      </c>
      <c r="D416">
        <v>250</v>
      </c>
      <c r="E416" s="26">
        <v>1.4212499999999999</v>
      </c>
      <c r="F416">
        <v>950.8</v>
      </c>
      <c r="G416" s="27">
        <v>50.4</v>
      </c>
      <c r="H416" s="24">
        <f t="shared" si="42"/>
        <v>2.5905799808994789</v>
      </c>
      <c r="I416" s="25">
        <f t="shared" si="43"/>
        <v>2.0648793875101761E-4</v>
      </c>
      <c r="J416" s="24">
        <f t="shared" si="38"/>
        <v>5.546900037248584E-3</v>
      </c>
      <c r="K416" s="14">
        <v>1.8</v>
      </c>
      <c r="L416" s="27">
        <v>6.56</v>
      </c>
      <c r="M416" s="27">
        <v>3.3</v>
      </c>
      <c r="N416" s="4">
        <f t="shared" si="39"/>
        <v>1.9878787878787878</v>
      </c>
      <c r="O416" s="20">
        <f t="shared" si="40"/>
        <v>4.7883211678832112</v>
      </c>
      <c r="P416">
        <f t="shared" si="41"/>
        <v>2013.3190000000002</v>
      </c>
    </row>
    <row r="417" spans="1:16">
      <c r="A417" t="s">
        <v>422</v>
      </c>
      <c r="B417" t="s">
        <v>522</v>
      </c>
      <c r="C417" s="14">
        <v>1.37</v>
      </c>
      <c r="D417">
        <v>100</v>
      </c>
      <c r="E417" s="26">
        <v>1.4212499999999999</v>
      </c>
      <c r="F417">
        <v>950.8</v>
      </c>
      <c r="G417" s="27">
        <v>50.4</v>
      </c>
      <c r="H417" s="24">
        <f t="shared" si="42"/>
        <v>1.0362319923597916</v>
      </c>
      <c r="I417" s="25">
        <f t="shared" si="43"/>
        <v>3.3038070200162812E-5</v>
      </c>
      <c r="J417" s="24">
        <f t="shared" si="38"/>
        <v>5.5469000372485823E-3</v>
      </c>
      <c r="K417" s="14">
        <v>1.8</v>
      </c>
      <c r="L417" s="27">
        <v>6.57</v>
      </c>
      <c r="M417" s="27">
        <v>3.32</v>
      </c>
      <c r="N417" s="4">
        <f t="shared" si="39"/>
        <v>1.9789156626506026</v>
      </c>
      <c r="O417" s="20">
        <f t="shared" si="40"/>
        <v>4.7956204379562042</v>
      </c>
      <c r="P417">
        <f t="shared" si="41"/>
        <v>2037.7968177777777</v>
      </c>
    </row>
    <row r="418" spans="1:16">
      <c r="A418" t="s">
        <v>423</v>
      </c>
      <c r="B418" t="s">
        <v>522</v>
      </c>
      <c r="C418" s="14">
        <v>0.83</v>
      </c>
      <c r="D418">
        <v>1000</v>
      </c>
      <c r="E418" s="26">
        <v>1.4212499999999999</v>
      </c>
      <c r="F418">
        <v>950.8</v>
      </c>
      <c r="G418" s="27">
        <v>50.4</v>
      </c>
      <c r="H418" s="24">
        <f t="shared" si="42"/>
        <v>17.104070235336323</v>
      </c>
      <c r="I418" s="25">
        <f t="shared" si="43"/>
        <v>1.4857375372892228E-2</v>
      </c>
      <c r="J418" s="24">
        <f t="shared" si="38"/>
        <v>7.1264226676742053E-3</v>
      </c>
      <c r="K418" s="14">
        <v>1.27</v>
      </c>
      <c r="L418" s="27">
        <v>5.18</v>
      </c>
      <c r="M418" s="27">
        <v>3.12</v>
      </c>
      <c r="N418" s="4">
        <f t="shared" si="39"/>
        <v>1.6602564102564101</v>
      </c>
      <c r="O418" s="20">
        <f t="shared" si="40"/>
        <v>6.2409638554216871</v>
      </c>
      <c r="P418">
        <f t="shared" si="41"/>
        <v>1799.6742400000003</v>
      </c>
    </row>
    <row r="419" spans="1:16">
      <c r="A419" t="s">
        <v>424</v>
      </c>
      <c r="B419" t="s">
        <v>522</v>
      </c>
      <c r="C419" s="14">
        <v>0.83</v>
      </c>
      <c r="D419">
        <v>750</v>
      </c>
      <c r="E419" s="26">
        <v>1.4212499999999999</v>
      </c>
      <c r="F419">
        <v>950.8</v>
      </c>
      <c r="G419" s="27">
        <v>50.4</v>
      </c>
      <c r="H419" s="24">
        <f t="shared" si="42"/>
        <v>12.82805267650224</v>
      </c>
      <c r="I419" s="25">
        <f t="shared" si="43"/>
        <v>8.3572736472518755E-3</v>
      </c>
      <c r="J419" s="24">
        <f t="shared" si="38"/>
        <v>7.1264226676742044E-3</v>
      </c>
      <c r="K419" s="14">
        <v>1.27</v>
      </c>
      <c r="L419" s="27">
        <v>5.25</v>
      </c>
      <c r="M419" s="27">
        <v>3.11</v>
      </c>
      <c r="N419" s="4">
        <f t="shared" si="39"/>
        <v>1.6881028938906752</v>
      </c>
      <c r="O419" s="20">
        <f t="shared" si="40"/>
        <v>6.3253012048192776</v>
      </c>
      <c r="P419">
        <f t="shared" si="41"/>
        <v>1788.1563544444446</v>
      </c>
    </row>
    <row r="420" spans="1:16">
      <c r="A420" t="s">
        <v>425</v>
      </c>
      <c r="B420" t="s">
        <v>522</v>
      </c>
      <c r="C420" s="14">
        <v>0.83</v>
      </c>
      <c r="D420">
        <v>500</v>
      </c>
      <c r="E420" s="26">
        <v>1.4212499999999999</v>
      </c>
      <c r="F420">
        <v>950.8</v>
      </c>
      <c r="G420" s="27">
        <v>50.4</v>
      </c>
      <c r="H420" s="24">
        <f t="shared" si="42"/>
        <v>8.5520351176681615</v>
      </c>
      <c r="I420" s="25">
        <f t="shared" si="43"/>
        <v>3.7143438432230571E-3</v>
      </c>
      <c r="J420" s="24">
        <f t="shared" si="38"/>
        <v>7.1264226676742053E-3</v>
      </c>
      <c r="K420" s="14">
        <v>1.27</v>
      </c>
      <c r="L420" s="27">
        <v>5.0999999999999996</v>
      </c>
      <c r="M420" s="27">
        <v>3.11</v>
      </c>
      <c r="N420" s="4">
        <f t="shared" si="39"/>
        <v>1.639871382636656</v>
      </c>
      <c r="O420" s="20">
        <f t="shared" si="40"/>
        <v>6.1445783132530121</v>
      </c>
      <c r="P420">
        <f t="shared" si="41"/>
        <v>1788.1563544444446</v>
      </c>
    </row>
    <row r="421" spans="1:16">
      <c r="A421" t="s">
        <v>426</v>
      </c>
      <c r="B421" t="s">
        <v>522</v>
      </c>
      <c r="C421" s="14">
        <v>0.83</v>
      </c>
      <c r="D421">
        <v>250</v>
      </c>
      <c r="E421" s="26">
        <v>1.4212499999999999</v>
      </c>
      <c r="F421">
        <v>950.8</v>
      </c>
      <c r="G421" s="27">
        <v>50.4</v>
      </c>
      <c r="H421" s="24">
        <f t="shared" si="42"/>
        <v>4.2760175588340807</v>
      </c>
      <c r="I421" s="25">
        <f t="shared" si="43"/>
        <v>9.2858596080576427E-4</v>
      </c>
      <c r="J421" s="24">
        <f t="shared" si="38"/>
        <v>7.1264226676742053E-3</v>
      </c>
      <c r="K421" s="14">
        <v>1.27</v>
      </c>
      <c r="L421" s="27">
        <v>5.12</v>
      </c>
      <c r="M421" s="27">
        <v>3.09</v>
      </c>
      <c r="N421" s="4">
        <f t="shared" si="39"/>
        <v>1.6569579288025891</v>
      </c>
      <c r="O421" s="20">
        <f t="shared" si="40"/>
        <v>6.168674698795181</v>
      </c>
      <c r="P421">
        <f t="shared" si="41"/>
        <v>1765.2315100000001</v>
      </c>
    </row>
    <row r="422" spans="1:16">
      <c r="A422" t="s">
        <v>427</v>
      </c>
      <c r="B422" t="s">
        <v>522</v>
      </c>
      <c r="C422" s="14">
        <v>0.83</v>
      </c>
      <c r="D422">
        <v>100</v>
      </c>
      <c r="E422" s="26">
        <v>1.4212499999999999</v>
      </c>
      <c r="F422">
        <v>950.8</v>
      </c>
      <c r="G422" s="27">
        <v>50.4</v>
      </c>
      <c r="H422" s="24">
        <f t="shared" si="42"/>
        <v>1.7104070235336319</v>
      </c>
      <c r="I422" s="25">
        <f t="shared" si="43"/>
        <v>1.4857375372892225E-4</v>
      </c>
      <c r="J422" s="24">
        <f t="shared" ref="J422:J485" si="44">SQRT(I422)/H422</f>
        <v>7.1264226676742062E-3</v>
      </c>
      <c r="K422" s="14">
        <v>1.27</v>
      </c>
      <c r="L422" s="27">
        <v>5</v>
      </c>
      <c r="M422" s="27">
        <v>3.07</v>
      </c>
      <c r="N422" s="4">
        <f t="shared" ref="N422:N485" si="45">L422/M422</f>
        <v>1.6286644951140066</v>
      </c>
      <c r="O422" s="20">
        <f t="shared" ref="O422:O485" si="46">L422/C422</f>
        <v>6.024096385542169</v>
      </c>
      <c r="P422">
        <f t="shared" si="41"/>
        <v>1742.4545677777776</v>
      </c>
    </row>
    <row r="423" spans="1:16">
      <c r="A423" t="s">
        <v>428</v>
      </c>
      <c r="B423" t="s">
        <v>522</v>
      </c>
      <c r="C423" s="14">
        <v>0.25</v>
      </c>
      <c r="D423">
        <v>1000</v>
      </c>
      <c r="E423" s="26">
        <v>1.4212499999999999</v>
      </c>
      <c r="F423">
        <v>950.8</v>
      </c>
      <c r="G423" s="27">
        <v>50.4</v>
      </c>
      <c r="H423" s="24">
        <f t="shared" si="42"/>
        <v>56.785513181316588</v>
      </c>
      <c r="I423" s="25">
        <f t="shared" si="43"/>
        <v>0.5436962619097554</v>
      </c>
      <c r="J423" s="24">
        <f t="shared" si="44"/>
        <v>1.2984960074150835E-2</v>
      </c>
      <c r="K423" s="14">
        <v>0.51</v>
      </c>
      <c r="L423" s="27">
        <v>2.95</v>
      </c>
      <c r="M423" s="27">
        <v>2.35</v>
      </c>
      <c r="N423" s="4">
        <f t="shared" si="45"/>
        <v>1.2553191489361701</v>
      </c>
      <c r="O423" s="20">
        <f t="shared" si="46"/>
        <v>11.8</v>
      </c>
      <c r="P423">
        <f t="shared" si="41"/>
        <v>1020.987527777778</v>
      </c>
    </row>
    <row r="424" spans="1:16">
      <c r="A424" t="s">
        <v>429</v>
      </c>
      <c r="B424" t="s">
        <v>523</v>
      </c>
      <c r="C424" s="14">
        <v>0.25</v>
      </c>
      <c r="D424">
        <v>750</v>
      </c>
      <c r="E424" s="26">
        <v>1.4212499999999999</v>
      </c>
      <c r="F424">
        <v>950.8</v>
      </c>
      <c r="G424" s="27">
        <v>50.4</v>
      </c>
      <c r="H424" s="24">
        <f t="shared" si="42"/>
        <v>42.589134885987434</v>
      </c>
      <c r="I424" s="25">
        <f t="shared" si="43"/>
        <v>0.30582914732423733</v>
      </c>
      <c r="J424" s="24">
        <f t="shared" si="44"/>
        <v>1.2984960074150837E-2</v>
      </c>
      <c r="K424" s="14">
        <v>0.51</v>
      </c>
      <c r="L424" s="27">
        <v>2.94</v>
      </c>
      <c r="M424" s="27">
        <v>2.36</v>
      </c>
      <c r="N424" s="4">
        <f t="shared" si="45"/>
        <v>1.2457627118644068</v>
      </c>
      <c r="O424" s="20">
        <f t="shared" si="46"/>
        <v>11.76</v>
      </c>
      <c r="P424">
        <f t="shared" si="41"/>
        <v>1029.6952711111112</v>
      </c>
    </row>
    <row r="425" spans="1:16">
      <c r="A425" t="s">
        <v>430</v>
      </c>
      <c r="B425" t="s">
        <v>522</v>
      </c>
      <c r="C425" s="14">
        <v>0.25</v>
      </c>
      <c r="D425">
        <v>500</v>
      </c>
      <c r="E425" s="26">
        <v>1.4212499999999999</v>
      </c>
      <c r="F425">
        <v>950.8</v>
      </c>
      <c r="G425" s="27">
        <v>50.4</v>
      </c>
      <c r="H425" s="24">
        <f t="shared" si="42"/>
        <v>28.392756590658294</v>
      </c>
      <c r="I425" s="25">
        <f t="shared" si="43"/>
        <v>0.13592406547743885</v>
      </c>
      <c r="J425" s="24">
        <f t="shared" si="44"/>
        <v>1.2984960074150835E-2</v>
      </c>
      <c r="K425" s="14">
        <v>0.51</v>
      </c>
      <c r="L425" s="27">
        <v>2.94</v>
      </c>
      <c r="M425" s="27">
        <v>2.36</v>
      </c>
      <c r="N425" s="4">
        <f t="shared" si="45"/>
        <v>1.2457627118644068</v>
      </c>
      <c r="O425" s="20">
        <f t="shared" si="46"/>
        <v>11.76</v>
      </c>
      <c r="P425">
        <f t="shared" si="41"/>
        <v>1029.6952711111112</v>
      </c>
    </row>
    <row r="426" spans="1:16">
      <c r="A426" t="s">
        <v>431</v>
      </c>
      <c r="B426" t="s">
        <v>522</v>
      </c>
      <c r="C426" s="14">
        <v>0.25</v>
      </c>
      <c r="D426">
        <v>250</v>
      </c>
      <c r="E426" s="26">
        <v>1.4212499999999999</v>
      </c>
      <c r="F426">
        <v>950.8</v>
      </c>
      <c r="G426" s="27">
        <v>50.4</v>
      </c>
      <c r="H426" s="24">
        <f t="shared" si="42"/>
        <v>14.196378295329147</v>
      </c>
      <c r="I426" s="25">
        <f t="shared" si="43"/>
        <v>3.3981016369359712E-2</v>
      </c>
      <c r="J426" s="24">
        <f t="shared" si="44"/>
        <v>1.2984960074150835E-2</v>
      </c>
      <c r="K426" s="14">
        <v>0.51</v>
      </c>
      <c r="L426" s="27">
        <v>2.95</v>
      </c>
      <c r="M426" s="27">
        <v>2.35</v>
      </c>
      <c r="N426" s="4">
        <f t="shared" si="45"/>
        <v>1.2553191489361701</v>
      </c>
      <c r="O426" s="20">
        <f t="shared" si="46"/>
        <v>11.8</v>
      </c>
      <c r="P426">
        <f t="shared" si="41"/>
        <v>1020.987527777778</v>
      </c>
    </row>
    <row r="427" spans="1:16">
      <c r="A427" t="s">
        <v>432</v>
      </c>
      <c r="B427" t="s">
        <v>522</v>
      </c>
      <c r="C427" s="14">
        <v>0.25</v>
      </c>
      <c r="D427">
        <v>100</v>
      </c>
      <c r="E427" s="26">
        <v>1.4212499999999999</v>
      </c>
      <c r="F427">
        <v>950.8</v>
      </c>
      <c r="G427" s="27">
        <v>50.4</v>
      </c>
      <c r="H427" s="24">
        <f t="shared" si="42"/>
        <v>5.6785513181316576</v>
      </c>
      <c r="I427" s="25">
        <f t="shared" si="43"/>
        <v>5.4369626190975528E-3</v>
      </c>
      <c r="J427" s="24">
        <f t="shared" si="44"/>
        <v>1.2984960074150837E-2</v>
      </c>
      <c r="K427" s="14">
        <v>0.51</v>
      </c>
      <c r="L427" s="27">
        <v>2.94</v>
      </c>
      <c r="M427" s="27">
        <v>2.34</v>
      </c>
      <c r="N427" s="4">
        <f t="shared" si="45"/>
        <v>1.2564102564102564</v>
      </c>
      <c r="O427" s="20">
        <f t="shared" si="46"/>
        <v>11.76</v>
      </c>
      <c r="P427">
        <f t="shared" si="41"/>
        <v>1012.31676</v>
      </c>
    </row>
    <row r="428" spans="1:16">
      <c r="A428" t="s">
        <v>433</v>
      </c>
      <c r="B428" t="s">
        <v>522</v>
      </c>
      <c r="C428" s="14">
        <v>0.1</v>
      </c>
      <c r="D428">
        <v>1000</v>
      </c>
      <c r="E428" s="26">
        <v>1.4212499999999999</v>
      </c>
      <c r="F428">
        <v>950.8</v>
      </c>
      <c r="G428" s="27">
        <v>50.4</v>
      </c>
      <c r="H428" s="24">
        <f t="shared" si="42"/>
        <v>141.96378295329146</v>
      </c>
      <c r="I428" s="25">
        <f t="shared" si="43"/>
        <v>8.4952540923399287</v>
      </c>
      <c r="J428" s="24">
        <f t="shared" si="44"/>
        <v>2.0531024580332766E-2</v>
      </c>
      <c r="K428" s="14">
        <v>0.24</v>
      </c>
      <c r="L428" s="27">
        <v>2.1800000000000002</v>
      </c>
      <c r="M428" s="27">
        <v>1.89</v>
      </c>
      <c r="N428" s="4">
        <f t="shared" si="45"/>
        <v>1.1534391534391535</v>
      </c>
      <c r="O428" s="20">
        <f t="shared" si="46"/>
        <v>21.8</v>
      </c>
      <c r="P428">
        <f t="shared" si="41"/>
        <v>660.40190999999993</v>
      </c>
    </row>
    <row r="429" spans="1:16">
      <c r="A429" t="s">
        <v>434</v>
      </c>
      <c r="B429" t="s">
        <v>522</v>
      </c>
      <c r="C429" s="14">
        <v>0.1</v>
      </c>
      <c r="D429">
        <v>750</v>
      </c>
      <c r="E429" s="26">
        <v>1.4212499999999999</v>
      </c>
      <c r="F429">
        <v>950.8</v>
      </c>
      <c r="G429" s="27">
        <v>50.4</v>
      </c>
      <c r="H429" s="24">
        <f t="shared" si="42"/>
        <v>106.47283721496859</v>
      </c>
      <c r="I429" s="25">
        <f t="shared" si="43"/>
        <v>4.7785804269412084</v>
      </c>
      <c r="J429" s="24">
        <f t="shared" si="44"/>
        <v>2.0531024580332766E-2</v>
      </c>
      <c r="K429" s="14">
        <v>0.24</v>
      </c>
      <c r="L429" s="27">
        <v>2.13</v>
      </c>
      <c r="M429" s="27">
        <v>1.83</v>
      </c>
      <c r="N429" s="4">
        <f t="shared" si="45"/>
        <v>1.1639344262295082</v>
      </c>
      <c r="O429" s="20">
        <f t="shared" si="46"/>
        <v>21.299999999999997</v>
      </c>
      <c r="P429">
        <f t="shared" si="41"/>
        <v>619.13719000000003</v>
      </c>
    </row>
    <row r="430" spans="1:16">
      <c r="A430" t="s">
        <v>435</v>
      </c>
      <c r="B430" t="s">
        <v>522</v>
      </c>
      <c r="C430" s="14">
        <v>0.1</v>
      </c>
      <c r="D430">
        <v>500</v>
      </c>
      <c r="E430" s="26">
        <v>1.4212499999999999</v>
      </c>
      <c r="F430">
        <v>950.8</v>
      </c>
      <c r="G430" s="27">
        <v>50.4</v>
      </c>
      <c r="H430" s="24">
        <f t="shared" si="42"/>
        <v>70.981891476645728</v>
      </c>
      <c r="I430" s="25">
        <f t="shared" si="43"/>
        <v>2.1238135230849822</v>
      </c>
      <c r="J430" s="24">
        <f t="shared" si="44"/>
        <v>2.0531024580332766E-2</v>
      </c>
      <c r="K430" s="14">
        <v>0.24</v>
      </c>
      <c r="L430" s="27">
        <v>2.13</v>
      </c>
      <c r="M430" s="27">
        <v>1.84</v>
      </c>
      <c r="N430" s="4">
        <f t="shared" si="45"/>
        <v>1.1576086956521738</v>
      </c>
      <c r="O430" s="20">
        <f t="shared" si="46"/>
        <v>21.299999999999997</v>
      </c>
      <c r="P430">
        <f t="shared" si="41"/>
        <v>625.92220444444445</v>
      </c>
    </row>
    <row r="431" spans="1:16">
      <c r="A431" t="s">
        <v>436</v>
      </c>
      <c r="B431" t="s">
        <v>522</v>
      </c>
      <c r="C431" s="14">
        <v>0.1</v>
      </c>
      <c r="D431">
        <v>250</v>
      </c>
      <c r="E431" s="26">
        <v>1.4212499999999999</v>
      </c>
      <c r="F431">
        <v>950.8</v>
      </c>
      <c r="G431" s="27">
        <v>50.4</v>
      </c>
      <c r="H431" s="24">
        <f t="shared" si="42"/>
        <v>35.490945738322864</v>
      </c>
      <c r="I431" s="25">
        <f t="shared" si="43"/>
        <v>0.53095338077124554</v>
      </c>
      <c r="J431" s="24">
        <f t="shared" si="44"/>
        <v>2.0531024580332766E-2</v>
      </c>
      <c r="K431" s="14">
        <v>0.24</v>
      </c>
      <c r="L431" s="27">
        <v>2.14</v>
      </c>
      <c r="M431" s="27">
        <v>1.84</v>
      </c>
      <c r="N431" s="4">
        <f t="shared" si="45"/>
        <v>1.1630434782608696</v>
      </c>
      <c r="O431" s="20">
        <f t="shared" si="46"/>
        <v>21.4</v>
      </c>
      <c r="P431">
        <f t="shared" si="41"/>
        <v>625.92220444444445</v>
      </c>
    </row>
    <row r="432" spans="1:16">
      <c r="A432" t="s">
        <v>437</v>
      </c>
      <c r="B432" t="s">
        <v>522</v>
      </c>
      <c r="C432" s="14">
        <v>0.1</v>
      </c>
      <c r="D432">
        <v>100</v>
      </c>
      <c r="E432" s="26">
        <v>1.4212499999999999</v>
      </c>
      <c r="F432">
        <v>950.8</v>
      </c>
      <c r="G432" s="27">
        <v>50.4</v>
      </c>
      <c r="H432" s="24">
        <f t="shared" si="42"/>
        <v>14.196378295329145</v>
      </c>
      <c r="I432" s="25">
        <f t="shared" si="43"/>
        <v>8.4952540923399281E-2</v>
      </c>
      <c r="J432" s="24">
        <f t="shared" si="44"/>
        <v>2.053102458033277E-2</v>
      </c>
      <c r="K432" s="14">
        <v>0.24</v>
      </c>
      <c r="L432" s="27">
        <v>2.14</v>
      </c>
      <c r="M432" s="27">
        <v>1.84</v>
      </c>
      <c r="N432" s="4">
        <f t="shared" si="45"/>
        <v>1.1630434782608696</v>
      </c>
      <c r="O432" s="20">
        <f t="shared" si="46"/>
        <v>21.4</v>
      </c>
      <c r="P432">
        <f t="shared" si="41"/>
        <v>625.92220444444445</v>
      </c>
    </row>
    <row r="433" spans="1:16">
      <c r="A433" t="s">
        <v>438</v>
      </c>
      <c r="B433" t="s">
        <v>525</v>
      </c>
      <c r="C433" s="14">
        <v>2.38</v>
      </c>
      <c r="D433">
        <v>1000</v>
      </c>
      <c r="E433" s="26">
        <v>4.5999999999999996</v>
      </c>
      <c r="F433">
        <v>916</v>
      </c>
      <c r="G433" s="27">
        <v>19.100000000000001</v>
      </c>
      <c r="H433" s="24">
        <f t="shared" si="42"/>
        <v>1.7754954070414832</v>
      </c>
      <c r="I433" s="25">
        <f t="shared" si="43"/>
        <v>1.6019500552312094E-3</v>
      </c>
      <c r="J433" s="24">
        <f t="shared" si="44"/>
        <v>2.2542648158367821E-2</v>
      </c>
      <c r="K433" s="14">
        <v>2.8</v>
      </c>
      <c r="L433" s="27">
        <v>9.84</v>
      </c>
      <c r="M433" s="27">
        <v>2.72</v>
      </c>
      <c r="N433" s="4">
        <f t="shared" si="45"/>
        <v>3.617647058823529</v>
      </c>
      <c r="O433" s="20">
        <f t="shared" si="46"/>
        <v>4.1344537815126055</v>
      </c>
      <c r="P433">
        <f t="shared" si="41"/>
        <v>3477.170529842932</v>
      </c>
    </row>
    <row r="434" spans="1:16">
      <c r="A434" t="s">
        <v>439</v>
      </c>
      <c r="B434" t="s">
        <v>524</v>
      </c>
      <c r="C434" s="14">
        <v>2.38</v>
      </c>
      <c r="D434">
        <v>750</v>
      </c>
      <c r="E434" s="26">
        <v>4.5999999999999996</v>
      </c>
      <c r="F434">
        <v>916</v>
      </c>
      <c r="G434" s="27">
        <v>19.100000000000001</v>
      </c>
      <c r="H434" s="24">
        <f t="shared" si="42"/>
        <v>1.3316215552811124</v>
      </c>
      <c r="I434" s="25">
        <f t="shared" si="43"/>
        <v>9.0109690606755518E-4</v>
      </c>
      <c r="J434" s="24">
        <f t="shared" si="44"/>
        <v>2.2542648158367817E-2</v>
      </c>
      <c r="K434" s="14">
        <v>2.8</v>
      </c>
      <c r="L434" s="27">
        <v>9.85</v>
      </c>
      <c r="M434" s="27">
        <v>2.75</v>
      </c>
      <c r="N434" s="4">
        <f t="shared" si="45"/>
        <v>3.5818181818181816</v>
      </c>
      <c r="O434" s="20">
        <f t="shared" si="46"/>
        <v>4.1386554621848743</v>
      </c>
      <c r="P434">
        <f t="shared" si="41"/>
        <v>3554.2958115183246</v>
      </c>
    </row>
    <row r="435" spans="1:16">
      <c r="A435" t="s">
        <v>440</v>
      </c>
      <c r="B435" t="s">
        <v>524</v>
      </c>
      <c r="C435" s="14">
        <v>2.38</v>
      </c>
      <c r="D435">
        <v>500</v>
      </c>
      <c r="E435" s="26">
        <v>4.5999999999999996</v>
      </c>
      <c r="F435">
        <v>916</v>
      </c>
      <c r="G435" s="27">
        <v>19.100000000000001</v>
      </c>
      <c r="H435" s="24">
        <f t="shared" si="42"/>
        <v>0.88774770352074162</v>
      </c>
      <c r="I435" s="25">
        <f t="shared" si="43"/>
        <v>4.0048751380780234E-4</v>
      </c>
      <c r="J435" s="24">
        <f t="shared" si="44"/>
        <v>2.2542648158367821E-2</v>
      </c>
      <c r="K435" s="14">
        <v>2.8</v>
      </c>
      <c r="L435" s="27">
        <v>9.68</v>
      </c>
      <c r="M435" s="27">
        <v>2.76</v>
      </c>
      <c r="N435" s="4">
        <f t="shared" si="45"/>
        <v>3.5072463768115942</v>
      </c>
      <c r="O435" s="20">
        <f t="shared" si="46"/>
        <v>4.0672268907563023</v>
      </c>
      <c r="P435">
        <f t="shared" si="41"/>
        <v>3580.1922345549733</v>
      </c>
    </row>
    <row r="436" spans="1:16">
      <c r="A436" t="s">
        <v>441</v>
      </c>
      <c r="B436" t="s">
        <v>524</v>
      </c>
      <c r="C436" s="14">
        <v>2.38</v>
      </c>
      <c r="D436">
        <v>250</v>
      </c>
      <c r="E436" s="26">
        <v>4.5999999999999996</v>
      </c>
      <c r="F436">
        <v>916</v>
      </c>
      <c r="G436" s="27">
        <v>19.100000000000001</v>
      </c>
      <c r="H436" s="24">
        <f t="shared" si="42"/>
        <v>0.44387385176037081</v>
      </c>
      <c r="I436" s="25">
        <f t="shared" si="43"/>
        <v>1.0012187845195058E-4</v>
      </c>
      <c r="J436" s="24">
        <f t="shared" si="44"/>
        <v>2.2542648158367821E-2</v>
      </c>
      <c r="K436" s="14">
        <v>2.8</v>
      </c>
      <c r="L436" s="27">
        <v>9.6</v>
      </c>
      <c r="M436" s="27">
        <v>2.75</v>
      </c>
      <c r="N436" s="4">
        <f t="shared" si="45"/>
        <v>3.4909090909090907</v>
      </c>
      <c r="O436" s="20">
        <f t="shared" si="46"/>
        <v>4.0336134453781511</v>
      </c>
      <c r="P436">
        <f t="shared" si="41"/>
        <v>3554.2958115183246</v>
      </c>
    </row>
    <row r="437" spans="1:16">
      <c r="A437" t="s">
        <v>442</v>
      </c>
      <c r="B437" t="s">
        <v>524</v>
      </c>
      <c r="C437" s="14">
        <v>2.38</v>
      </c>
      <c r="D437">
        <v>100</v>
      </c>
      <c r="E437" s="26">
        <v>4.5999999999999996</v>
      </c>
      <c r="F437">
        <v>916</v>
      </c>
      <c r="G437" s="27">
        <v>19.100000000000001</v>
      </c>
      <c r="H437" s="24">
        <f t="shared" si="42"/>
        <v>0.1775495407041483</v>
      </c>
      <c r="I437" s="25">
        <f t="shared" si="43"/>
        <v>1.601950055231209E-5</v>
      </c>
      <c r="J437" s="24">
        <f t="shared" si="44"/>
        <v>2.2542648158367817E-2</v>
      </c>
      <c r="K437" s="14">
        <v>2.8</v>
      </c>
      <c r="L437" s="27">
        <v>9.41</v>
      </c>
      <c r="M437" s="27">
        <v>2.72</v>
      </c>
      <c r="N437" s="4">
        <f t="shared" si="45"/>
        <v>3.4595588235294117</v>
      </c>
      <c r="O437" s="20">
        <f t="shared" si="46"/>
        <v>3.9537815126050422</v>
      </c>
      <c r="P437">
        <f t="shared" si="41"/>
        <v>3477.170529842932</v>
      </c>
    </row>
    <row r="438" spans="1:16">
      <c r="A438" t="s">
        <v>443</v>
      </c>
      <c r="B438" t="s">
        <v>524</v>
      </c>
      <c r="C438" s="14">
        <v>1.79</v>
      </c>
      <c r="D438">
        <v>1000</v>
      </c>
      <c r="E438" s="26">
        <v>4.5999999999999996</v>
      </c>
      <c r="F438">
        <v>916</v>
      </c>
      <c r="G438" s="27">
        <v>19.100000000000001</v>
      </c>
      <c r="H438" s="24">
        <f t="shared" si="42"/>
        <v>2.3607145635523628</v>
      </c>
      <c r="I438" s="25">
        <f t="shared" si="43"/>
        <v>3.7654835093421588E-3</v>
      </c>
      <c r="J438" s="24">
        <f t="shared" si="44"/>
        <v>2.5993627782312428E-2</v>
      </c>
      <c r="K438" s="14">
        <v>2.4</v>
      </c>
      <c r="L438" s="27">
        <v>8.69</v>
      </c>
      <c r="M438" s="27">
        <v>2.5299999999999998</v>
      </c>
      <c r="N438" s="4">
        <f t="shared" si="45"/>
        <v>3.4347826086956523</v>
      </c>
      <c r="O438" s="20">
        <f t="shared" si="46"/>
        <v>4.8547486033519549</v>
      </c>
      <c r="P438">
        <f t="shared" si="41"/>
        <v>3008.3559748691096</v>
      </c>
    </row>
    <row r="439" spans="1:16">
      <c r="A439" t="s">
        <v>444</v>
      </c>
      <c r="B439" t="s">
        <v>524</v>
      </c>
      <c r="C439" s="14">
        <v>1.79</v>
      </c>
      <c r="D439">
        <v>750</v>
      </c>
      <c r="E439" s="26">
        <v>4.5999999999999996</v>
      </c>
      <c r="F439">
        <v>916</v>
      </c>
      <c r="G439" s="27">
        <v>19.100000000000001</v>
      </c>
      <c r="H439" s="24">
        <f t="shared" si="42"/>
        <v>1.7705359226642718</v>
      </c>
      <c r="I439" s="25">
        <f t="shared" si="43"/>
        <v>2.1180844740049639E-3</v>
      </c>
      <c r="J439" s="24">
        <f t="shared" si="44"/>
        <v>2.5993627782312432E-2</v>
      </c>
      <c r="K439" s="14">
        <v>2.4</v>
      </c>
      <c r="L439" s="27">
        <v>8.7899999999999991</v>
      </c>
      <c r="M439" s="27">
        <v>2.58</v>
      </c>
      <c r="N439" s="4">
        <f t="shared" si="45"/>
        <v>3.4069767441860459</v>
      </c>
      <c r="O439" s="20">
        <f t="shared" si="46"/>
        <v>4.910614525139664</v>
      </c>
      <c r="P439">
        <f t="shared" si="41"/>
        <v>3128.4382994764401</v>
      </c>
    </row>
    <row r="440" spans="1:16">
      <c r="A440" t="s">
        <v>445</v>
      </c>
      <c r="B440" t="s">
        <v>524</v>
      </c>
      <c r="C440" s="14">
        <v>1.79</v>
      </c>
      <c r="D440">
        <v>500</v>
      </c>
      <c r="E440" s="26">
        <v>4.5999999999999996</v>
      </c>
      <c r="F440">
        <v>916</v>
      </c>
      <c r="G440" s="27">
        <v>19.100000000000001</v>
      </c>
      <c r="H440" s="24">
        <f t="shared" si="42"/>
        <v>1.1803572817761814</v>
      </c>
      <c r="I440" s="25">
        <f t="shared" si="43"/>
        <v>9.4137087733553969E-4</v>
      </c>
      <c r="J440" s="24">
        <f t="shared" si="44"/>
        <v>2.5993627782312428E-2</v>
      </c>
      <c r="K440" s="14">
        <v>2.4</v>
      </c>
      <c r="L440" s="27">
        <v>8.58</v>
      </c>
      <c r="M440" s="27">
        <v>2.57</v>
      </c>
      <c r="N440" s="4">
        <f t="shared" si="45"/>
        <v>3.3385214007782102</v>
      </c>
      <c r="O440" s="20">
        <f t="shared" si="46"/>
        <v>4.7932960893854748</v>
      </c>
      <c r="P440">
        <f t="shared" si="41"/>
        <v>3104.2338387434552</v>
      </c>
    </row>
    <row r="441" spans="1:16">
      <c r="A441" t="s">
        <v>446</v>
      </c>
      <c r="B441" t="s">
        <v>524</v>
      </c>
      <c r="C441" s="14">
        <v>1.79</v>
      </c>
      <c r="D441">
        <v>250</v>
      </c>
      <c r="E441" s="26">
        <v>4.5999999999999996</v>
      </c>
      <c r="F441">
        <v>916</v>
      </c>
      <c r="G441" s="27">
        <v>19.100000000000001</v>
      </c>
      <c r="H441" s="24">
        <f t="shared" si="42"/>
        <v>0.59017864088809069</v>
      </c>
      <c r="I441" s="25">
        <f t="shared" si="43"/>
        <v>2.3534271933388492E-4</v>
      </c>
      <c r="J441" s="24">
        <f t="shared" si="44"/>
        <v>2.5993627782312428E-2</v>
      </c>
      <c r="K441" s="14">
        <v>2.4</v>
      </c>
      <c r="L441" s="27">
        <v>8.26</v>
      </c>
      <c r="M441" s="27">
        <v>2.5299999999999998</v>
      </c>
      <c r="N441" s="4">
        <f t="shared" si="45"/>
        <v>3.264822134387352</v>
      </c>
      <c r="O441" s="20">
        <f t="shared" si="46"/>
        <v>4.6145251396648046</v>
      </c>
      <c r="P441">
        <f t="shared" si="41"/>
        <v>3008.3559748691096</v>
      </c>
    </row>
    <row r="442" spans="1:16">
      <c r="A442" t="s">
        <v>447</v>
      </c>
      <c r="B442" t="s">
        <v>524</v>
      </c>
      <c r="C442" s="14">
        <v>1.79</v>
      </c>
      <c r="D442">
        <v>100</v>
      </c>
      <c r="E442" s="26">
        <v>4.5999999999999996</v>
      </c>
      <c r="F442">
        <v>916</v>
      </c>
      <c r="G442" s="27">
        <v>19.100000000000001</v>
      </c>
      <c r="H442" s="24">
        <f t="shared" si="42"/>
        <v>0.23607145635523621</v>
      </c>
      <c r="I442" s="25">
        <f t="shared" si="43"/>
        <v>3.7654835093421581E-5</v>
      </c>
      <c r="J442" s="24">
        <f t="shared" si="44"/>
        <v>2.5993627782312435E-2</v>
      </c>
      <c r="K442" s="14">
        <v>2.4</v>
      </c>
      <c r="L442" s="27">
        <v>8.1999999999999993</v>
      </c>
      <c r="M442" s="27">
        <v>2.54</v>
      </c>
      <c r="N442" s="4">
        <f t="shared" si="45"/>
        <v>3.228346456692913</v>
      </c>
      <c r="O442" s="20">
        <f t="shared" si="46"/>
        <v>4.5810055865921786</v>
      </c>
      <c r="P442">
        <f t="shared" si="41"/>
        <v>3032.1844439790575</v>
      </c>
    </row>
    <row r="443" spans="1:16">
      <c r="A443" t="s">
        <v>448</v>
      </c>
      <c r="B443" t="s">
        <v>524</v>
      </c>
      <c r="C443" s="14">
        <v>1.37</v>
      </c>
      <c r="D443">
        <v>1000</v>
      </c>
      <c r="E443" s="26">
        <v>4.5999999999999996</v>
      </c>
      <c r="F443">
        <v>916</v>
      </c>
      <c r="G443" s="27">
        <v>19.100000000000001</v>
      </c>
      <c r="H443" s="24">
        <f t="shared" si="42"/>
        <v>3.0844372764662249</v>
      </c>
      <c r="I443" s="25">
        <f t="shared" si="43"/>
        <v>8.3988174416297356E-3</v>
      </c>
      <c r="J443" s="24">
        <f t="shared" si="44"/>
        <v>2.971208491949719E-2</v>
      </c>
      <c r="K443" s="14">
        <v>1.8</v>
      </c>
      <c r="L443" s="27">
        <v>6.69</v>
      </c>
      <c r="M443" s="27">
        <v>2.36</v>
      </c>
      <c r="N443" s="4">
        <f t="shared" si="45"/>
        <v>2.8347457627118646</v>
      </c>
      <c r="O443" s="20">
        <f t="shared" si="46"/>
        <v>4.8832116788321169</v>
      </c>
      <c r="P443">
        <f t="shared" si="41"/>
        <v>2617.6536795811517</v>
      </c>
    </row>
    <row r="444" spans="1:16">
      <c r="A444" t="s">
        <v>449</v>
      </c>
      <c r="B444" t="s">
        <v>524</v>
      </c>
      <c r="C444" s="14">
        <v>1.37</v>
      </c>
      <c r="D444">
        <v>750</v>
      </c>
      <c r="E444" s="26">
        <v>4.5999999999999996</v>
      </c>
      <c r="F444">
        <v>916</v>
      </c>
      <c r="G444" s="27">
        <v>19.100000000000001</v>
      </c>
      <c r="H444" s="24">
        <f t="shared" si="42"/>
        <v>2.3133279573496686</v>
      </c>
      <c r="I444" s="25">
        <f t="shared" si="43"/>
        <v>4.7243348109167254E-3</v>
      </c>
      <c r="J444" s="24">
        <f t="shared" si="44"/>
        <v>2.9712084919497186E-2</v>
      </c>
      <c r="K444" s="14">
        <v>1.8</v>
      </c>
      <c r="L444" s="27">
        <v>6.86</v>
      </c>
      <c r="M444" s="27">
        <v>2.39</v>
      </c>
      <c r="N444" s="4">
        <f t="shared" si="45"/>
        <v>2.8702928870292888</v>
      </c>
      <c r="O444" s="20">
        <f t="shared" si="46"/>
        <v>5.0072992700729921</v>
      </c>
      <c r="P444">
        <f t="shared" si="41"/>
        <v>2684.6271874345553</v>
      </c>
    </row>
    <row r="445" spans="1:16">
      <c r="A445" t="s">
        <v>450</v>
      </c>
      <c r="B445" t="s">
        <v>524</v>
      </c>
      <c r="C445" s="14">
        <v>1.37</v>
      </c>
      <c r="D445">
        <v>500</v>
      </c>
      <c r="E445" s="26">
        <v>4.5999999999999996</v>
      </c>
      <c r="F445">
        <v>916</v>
      </c>
      <c r="G445" s="27">
        <v>19.100000000000001</v>
      </c>
      <c r="H445" s="24">
        <f t="shared" si="42"/>
        <v>1.5422186382331124</v>
      </c>
      <c r="I445" s="25">
        <f t="shared" si="43"/>
        <v>2.0997043604074339E-3</v>
      </c>
      <c r="J445" s="24">
        <f t="shared" si="44"/>
        <v>2.971208491949719E-2</v>
      </c>
      <c r="K445" s="14">
        <v>1.8</v>
      </c>
      <c r="L445" s="27">
        <v>6.85</v>
      </c>
      <c r="M445" s="27">
        <v>2.38</v>
      </c>
      <c r="N445" s="4">
        <f t="shared" si="45"/>
        <v>2.8781512605042017</v>
      </c>
      <c r="O445" s="20">
        <f t="shared" si="46"/>
        <v>4.9999999999999991</v>
      </c>
      <c r="P445">
        <f t="shared" si="41"/>
        <v>2662.2086869109949</v>
      </c>
    </row>
    <row r="446" spans="1:16">
      <c r="A446" t="s">
        <v>451</v>
      </c>
      <c r="B446" t="s">
        <v>524</v>
      </c>
      <c r="C446" s="14">
        <v>1.37</v>
      </c>
      <c r="D446">
        <v>250</v>
      </c>
      <c r="E446" s="26">
        <v>4.5999999999999996</v>
      </c>
      <c r="F446">
        <v>916</v>
      </c>
      <c r="G446" s="27">
        <v>19.100000000000001</v>
      </c>
      <c r="H446" s="24">
        <f t="shared" si="42"/>
        <v>0.77110931911655622</v>
      </c>
      <c r="I446" s="25">
        <f t="shared" si="43"/>
        <v>5.2492609010185848E-4</v>
      </c>
      <c r="J446" s="24">
        <f t="shared" si="44"/>
        <v>2.971208491949719E-2</v>
      </c>
      <c r="K446" s="14">
        <v>1.8</v>
      </c>
      <c r="L446" s="27">
        <v>6.56</v>
      </c>
      <c r="M446" s="27">
        <v>2.34</v>
      </c>
      <c r="N446" s="4">
        <f t="shared" si="45"/>
        <v>2.8034188034188032</v>
      </c>
      <c r="O446" s="20">
        <f t="shared" si="46"/>
        <v>4.7883211678832112</v>
      </c>
      <c r="P446">
        <f t="shared" si="41"/>
        <v>2573.4746638743454</v>
      </c>
    </row>
    <row r="447" spans="1:16">
      <c r="A447" t="s">
        <v>452</v>
      </c>
      <c r="B447" t="s">
        <v>524</v>
      </c>
      <c r="C447" s="14">
        <v>1.37</v>
      </c>
      <c r="D447">
        <v>100</v>
      </c>
      <c r="E447" s="26">
        <v>4.5999999999999996</v>
      </c>
      <c r="F447">
        <v>916</v>
      </c>
      <c r="G447" s="27">
        <v>19.100000000000001</v>
      </c>
      <c r="H447" s="24">
        <f t="shared" si="42"/>
        <v>0.30844372764662248</v>
      </c>
      <c r="I447" s="25">
        <f t="shared" si="43"/>
        <v>8.3988174416297346E-5</v>
      </c>
      <c r="J447" s="24">
        <f t="shared" si="44"/>
        <v>2.971208491949719E-2</v>
      </c>
      <c r="K447" s="14">
        <v>1.8</v>
      </c>
      <c r="L447" s="27">
        <v>6.27</v>
      </c>
      <c r="M447" s="27">
        <v>2.33</v>
      </c>
      <c r="N447" s="4">
        <f t="shared" si="45"/>
        <v>2.6909871244635188</v>
      </c>
      <c r="O447" s="20">
        <f t="shared" si="46"/>
        <v>4.5766423357664223</v>
      </c>
      <c r="P447">
        <f t="shared" si="41"/>
        <v>2551.5261528795813</v>
      </c>
    </row>
    <row r="448" spans="1:16">
      <c r="A448" t="s">
        <v>453</v>
      </c>
      <c r="B448" t="s">
        <v>524</v>
      </c>
      <c r="C448" s="14">
        <v>0.83</v>
      </c>
      <c r="D448">
        <v>1000</v>
      </c>
      <c r="E448" s="26">
        <v>4.5999999999999996</v>
      </c>
      <c r="F448">
        <v>916</v>
      </c>
      <c r="G448" s="27">
        <v>19.100000000000001</v>
      </c>
      <c r="H448" s="24">
        <f t="shared" si="42"/>
        <v>5.0911796009141321</v>
      </c>
      <c r="I448" s="25">
        <f t="shared" si="43"/>
        <v>3.7769876588636946E-2</v>
      </c>
      <c r="J448" s="24">
        <f t="shared" si="44"/>
        <v>3.8172830599484724E-2</v>
      </c>
      <c r="K448" s="14">
        <v>1.27</v>
      </c>
      <c r="L448" s="27">
        <v>5.62</v>
      </c>
      <c r="M448" s="27">
        <v>2.2000000000000002</v>
      </c>
      <c r="N448" s="4">
        <f t="shared" si="45"/>
        <v>2.5545454545454542</v>
      </c>
      <c r="O448" s="20">
        <f t="shared" si="46"/>
        <v>6.7710843373493983</v>
      </c>
      <c r="P448">
        <f t="shared" si="41"/>
        <v>2274.7493193717278</v>
      </c>
    </row>
    <row r="449" spans="1:16">
      <c r="A449" t="s">
        <v>454</v>
      </c>
      <c r="B449" t="s">
        <v>524</v>
      </c>
      <c r="C449" s="14">
        <v>0.83</v>
      </c>
      <c r="D449">
        <v>750</v>
      </c>
      <c r="E449" s="26">
        <v>4.5999999999999996</v>
      </c>
      <c r="F449">
        <v>916</v>
      </c>
      <c r="G449" s="27">
        <v>19.100000000000001</v>
      </c>
      <c r="H449" s="24">
        <f t="shared" si="42"/>
        <v>3.8183847006855989</v>
      </c>
      <c r="I449" s="25">
        <f t="shared" si="43"/>
        <v>2.1245555581108279E-2</v>
      </c>
      <c r="J449" s="24">
        <f t="shared" si="44"/>
        <v>3.8172830599484717E-2</v>
      </c>
      <c r="K449" s="14">
        <v>1.27</v>
      </c>
      <c r="L449" s="27">
        <v>5.73</v>
      </c>
      <c r="M449" s="27">
        <v>2.21</v>
      </c>
      <c r="N449" s="4">
        <f t="shared" si="45"/>
        <v>2.5927601809954752</v>
      </c>
      <c r="O449" s="20">
        <f t="shared" si="46"/>
        <v>6.9036144578313259</v>
      </c>
      <c r="P449">
        <f t="shared" si="41"/>
        <v>2295.4758575916226</v>
      </c>
    </row>
    <row r="450" spans="1:16">
      <c r="A450" t="s">
        <v>455</v>
      </c>
      <c r="B450" t="s">
        <v>524</v>
      </c>
      <c r="C450" s="14">
        <v>0.83</v>
      </c>
      <c r="D450">
        <v>500</v>
      </c>
      <c r="E450" s="26">
        <v>4.5999999999999996</v>
      </c>
      <c r="F450">
        <v>916</v>
      </c>
      <c r="G450" s="27">
        <v>19.100000000000001</v>
      </c>
      <c r="H450" s="24">
        <f t="shared" si="42"/>
        <v>2.5455898004570661</v>
      </c>
      <c r="I450" s="25">
        <f t="shared" si="43"/>
        <v>9.4424691471592364E-3</v>
      </c>
      <c r="J450" s="24">
        <f t="shared" si="44"/>
        <v>3.8172830599484724E-2</v>
      </c>
      <c r="K450" s="14">
        <v>1.27</v>
      </c>
      <c r="L450" s="27">
        <v>5.33</v>
      </c>
      <c r="M450" s="27">
        <v>2.17</v>
      </c>
      <c r="N450" s="4">
        <f t="shared" si="45"/>
        <v>2.4562211981566819</v>
      </c>
      <c r="O450" s="20">
        <f t="shared" si="46"/>
        <v>6.4216867469879526</v>
      </c>
      <c r="P450">
        <f t="shared" si="41"/>
        <v>2213.1336921465968</v>
      </c>
    </row>
    <row r="451" spans="1:16">
      <c r="A451" t="s">
        <v>456</v>
      </c>
      <c r="B451" t="s">
        <v>524</v>
      </c>
      <c r="C451" s="14">
        <v>0.83</v>
      </c>
      <c r="D451">
        <v>250</v>
      </c>
      <c r="E451" s="26">
        <v>4.5999999999999996</v>
      </c>
      <c r="F451">
        <v>916</v>
      </c>
      <c r="G451" s="27">
        <v>19.100000000000001</v>
      </c>
      <c r="H451" s="24">
        <f t="shared" si="42"/>
        <v>1.272794900228533</v>
      </c>
      <c r="I451" s="25">
        <f t="shared" si="43"/>
        <v>2.3606172867898091E-3</v>
      </c>
      <c r="J451" s="24">
        <f t="shared" si="44"/>
        <v>3.8172830599484724E-2</v>
      </c>
      <c r="K451" s="14">
        <v>1.27</v>
      </c>
      <c r="L451" s="27">
        <v>5.3</v>
      </c>
      <c r="M451" s="27">
        <v>2.16</v>
      </c>
      <c r="N451" s="4">
        <f t="shared" si="45"/>
        <v>2.4537037037037033</v>
      </c>
      <c r="O451" s="20">
        <f t="shared" si="46"/>
        <v>6.3855421686746991</v>
      </c>
      <c r="P451">
        <f t="shared" si="41"/>
        <v>2192.7831455497385</v>
      </c>
    </row>
    <row r="452" spans="1:16">
      <c r="A452" t="s">
        <v>457</v>
      </c>
      <c r="B452" t="s">
        <v>524</v>
      </c>
      <c r="C452" s="14">
        <v>0.83</v>
      </c>
      <c r="D452">
        <v>100</v>
      </c>
      <c r="E452" s="26">
        <v>4.5999999999999996</v>
      </c>
      <c r="F452">
        <v>916</v>
      </c>
      <c r="G452" s="27">
        <v>19.100000000000001</v>
      </c>
      <c r="H452" s="24">
        <f t="shared" si="42"/>
        <v>0.50911796009141308</v>
      </c>
      <c r="I452" s="25">
        <f t="shared" si="43"/>
        <v>3.776987658863694E-4</v>
      </c>
      <c r="J452" s="24">
        <f t="shared" si="44"/>
        <v>3.8172830599484731E-2</v>
      </c>
      <c r="K452" s="14">
        <v>1.27</v>
      </c>
      <c r="L452" s="27">
        <v>5.3</v>
      </c>
      <c r="M452" s="27">
        <v>2.15</v>
      </c>
      <c r="N452" s="4">
        <f t="shared" si="45"/>
        <v>2.4651162790697674</v>
      </c>
      <c r="O452" s="20">
        <f t="shared" si="46"/>
        <v>6.3855421686746991</v>
      </c>
      <c r="P452">
        <f t="shared" ref="P452:P515" si="47">F452*M452*M452*9.8/G452</f>
        <v>2172.5265968586382</v>
      </c>
    </row>
    <row r="453" spans="1:16">
      <c r="A453" t="s">
        <v>458</v>
      </c>
      <c r="B453" t="s">
        <v>524</v>
      </c>
      <c r="C453" s="14">
        <v>0.25</v>
      </c>
      <c r="D453">
        <v>1000</v>
      </c>
      <c r="E453" s="26">
        <v>4.5999999999999996</v>
      </c>
      <c r="F453">
        <v>916</v>
      </c>
      <c r="G453" s="27">
        <v>19.100000000000001</v>
      </c>
      <c r="H453" s="24">
        <f t="shared" si="42"/>
        <v>16.902716275034919</v>
      </c>
      <c r="I453" s="25">
        <f t="shared" si="43"/>
        <v>1.3821647631991649</v>
      </c>
      <c r="J453" s="24">
        <f t="shared" si="44"/>
        <v>6.9554207540906521E-2</v>
      </c>
      <c r="K453" s="14">
        <v>0.51</v>
      </c>
      <c r="L453" s="27">
        <v>2.37</v>
      </c>
      <c r="M453" s="27">
        <v>1.63</v>
      </c>
      <c r="N453" s="4">
        <f t="shared" si="45"/>
        <v>1.45398773006135</v>
      </c>
      <c r="O453" s="20">
        <f t="shared" si="46"/>
        <v>9.48</v>
      </c>
      <c r="P453">
        <f t="shared" si="47"/>
        <v>1248.7151790575915</v>
      </c>
    </row>
    <row r="454" spans="1:16">
      <c r="A454" t="s">
        <v>459</v>
      </c>
      <c r="B454" t="s">
        <v>524</v>
      </c>
      <c r="C454" s="14">
        <v>0.25</v>
      </c>
      <c r="D454">
        <v>750</v>
      </c>
      <c r="E454" s="26">
        <v>4.5999999999999996</v>
      </c>
      <c r="F454">
        <v>916</v>
      </c>
      <c r="G454" s="27">
        <v>19.100000000000001</v>
      </c>
      <c r="H454" s="24">
        <f t="shared" si="42"/>
        <v>12.677037206276188</v>
      </c>
      <c r="I454" s="25">
        <f t="shared" si="43"/>
        <v>0.7774676792995302</v>
      </c>
      <c r="J454" s="24">
        <f t="shared" si="44"/>
        <v>6.9554207540906521E-2</v>
      </c>
      <c r="K454" s="14">
        <v>0.51</v>
      </c>
      <c r="L454" s="27">
        <v>2.46</v>
      </c>
      <c r="M454" s="27">
        <v>1.68</v>
      </c>
      <c r="N454" s="4">
        <f t="shared" si="45"/>
        <v>1.4642857142857144</v>
      </c>
      <c r="O454" s="20">
        <f t="shared" si="46"/>
        <v>9.84</v>
      </c>
      <c r="P454">
        <f t="shared" si="47"/>
        <v>1326.4984460732983</v>
      </c>
    </row>
    <row r="455" spans="1:16">
      <c r="A455" t="s">
        <v>460</v>
      </c>
      <c r="B455" t="s">
        <v>524</v>
      </c>
      <c r="C455" s="14">
        <v>0.25</v>
      </c>
      <c r="D455">
        <v>500</v>
      </c>
      <c r="E455" s="26">
        <v>4.5999999999999996</v>
      </c>
      <c r="F455">
        <v>916</v>
      </c>
      <c r="G455" s="27">
        <v>19.100000000000001</v>
      </c>
      <c r="H455" s="24">
        <f t="shared" si="42"/>
        <v>8.4513581375174596</v>
      </c>
      <c r="I455" s="25">
        <f t="shared" si="43"/>
        <v>0.34554119079979123</v>
      </c>
      <c r="J455" s="24">
        <f t="shared" si="44"/>
        <v>6.9554207540906521E-2</v>
      </c>
      <c r="K455" s="14">
        <v>0.51</v>
      </c>
      <c r="L455" s="27">
        <v>2.46</v>
      </c>
      <c r="M455" s="27">
        <v>1.68</v>
      </c>
      <c r="N455" s="4">
        <f t="shared" si="45"/>
        <v>1.4642857142857144</v>
      </c>
      <c r="O455" s="20">
        <f t="shared" si="46"/>
        <v>9.84</v>
      </c>
      <c r="P455">
        <f t="shared" si="47"/>
        <v>1326.4984460732983</v>
      </c>
    </row>
    <row r="456" spans="1:16">
      <c r="A456" t="s">
        <v>461</v>
      </c>
      <c r="B456" t="s">
        <v>524</v>
      </c>
      <c r="C456" s="14">
        <v>0.25</v>
      </c>
      <c r="D456">
        <v>250</v>
      </c>
      <c r="E456" s="26">
        <v>4.5999999999999996</v>
      </c>
      <c r="F456">
        <v>916</v>
      </c>
      <c r="G456" s="27">
        <v>19.100000000000001</v>
      </c>
      <c r="H456" s="24">
        <f t="shared" si="42"/>
        <v>4.2256790687587298</v>
      </c>
      <c r="I456" s="25">
        <f t="shared" si="43"/>
        <v>8.6385297699947808E-2</v>
      </c>
      <c r="J456" s="24">
        <f t="shared" si="44"/>
        <v>6.9554207540906521E-2</v>
      </c>
      <c r="K456" s="14">
        <v>0.51</v>
      </c>
      <c r="L456" s="27">
        <v>2.33</v>
      </c>
      <c r="M456" s="27">
        <v>1.64</v>
      </c>
      <c r="N456" s="4">
        <f t="shared" si="45"/>
        <v>1.4207317073170733</v>
      </c>
      <c r="O456" s="20">
        <f t="shared" si="46"/>
        <v>9.32</v>
      </c>
      <c r="P456">
        <f t="shared" si="47"/>
        <v>1264.0838366492148</v>
      </c>
    </row>
    <row r="457" spans="1:16">
      <c r="A457" t="s">
        <v>462</v>
      </c>
      <c r="B457" t="s">
        <v>524</v>
      </c>
      <c r="C457" s="14">
        <v>0.25</v>
      </c>
      <c r="D457">
        <v>100</v>
      </c>
      <c r="E457" s="26">
        <v>4.5999999999999996</v>
      </c>
      <c r="F457">
        <v>916</v>
      </c>
      <c r="G457" s="27">
        <v>19.100000000000001</v>
      </c>
      <c r="H457" s="24">
        <f t="shared" si="42"/>
        <v>1.6902716275034915</v>
      </c>
      <c r="I457" s="25">
        <f t="shared" si="43"/>
        <v>1.3821647631991648E-2</v>
      </c>
      <c r="J457" s="24">
        <f t="shared" si="44"/>
        <v>6.9554207540906535E-2</v>
      </c>
      <c r="K457" s="14">
        <v>0.51</v>
      </c>
      <c r="L457" s="27">
        <v>2.34</v>
      </c>
      <c r="M457" s="27">
        <v>1.64</v>
      </c>
      <c r="N457" s="4">
        <f t="shared" si="45"/>
        <v>1.4268292682926829</v>
      </c>
      <c r="O457" s="20">
        <f t="shared" si="46"/>
        <v>9.36</v>
      </c>
      <c r="P457">
        <f t="shared" si="47"/>
        <v>1264.0838366492148</v>
      </c>
    </row>
    <row r="458" spans="1:16">
      <c r="A458" t="s">
        <v>463</v>
      </c>
      <c r="B458" t="s">
        <v>524</v>
      </c>
      <c r="C458" s="14">
        <v>0.1</v>
      </c>
      <c r="D458">
        <v>1000</v>
      </c>
      <c r="E458" s="26">
        <v>4.5999999999999996</v>
      </c>
      <c r="F458">
        <v>916</v>
      </c>
      <c r="G458" s="27">
        <v>19.100000000000001</v>
      </c>
      <c r="H458" s="24">
        <f t="shared" si="42"/>
        <v>42.256790687587298</v>
      </c>
      <c r="I458" s="25">
        <f t="shared" si="43"/>
        <v>21.596324424986953</v>
      </c>
      <c r="J458" s="24">
        <f t="shared" si="44"/>
        <v>0.10997485833866186</v>
      </c>
      <c r="K458" s="14">
        <v>0.24</v>
      </c>
      <c r="L458" s="27">
        <v>1.58</v>
      </c>
      <c r="M458" s="27">
        <v>1.32</v>
      </c>
      <c r="N458" s="4">
        <f t="shared" si="45"/>
        <v>1.196969696969697</v>
      </c>
      <c r="O458" s="20">
        <f t="shared" si="46"/>
        <v>15.8</v>
      </c>
      <c r="P458">
        <f t="shared" si="47"/>
        <v>818.90975497382203</v>
      </c>
    </row>
    <row r="459" spans="1:16">
      <c r="A459" t="s">
        <v>464</v>
      </c>
      <c r="B459" t="s">
        <v>524</v>
      </c>
      <c r="C459" s="14">
        <v>0.1</v>
      </c>
      <c r="D459">
        <v>750</v>
      </c>
      <c r="E459" s="26">
        <v>4.5999999999999996</v>
      </c>
      <c r="F459">
        <v>916</v>
      </c>
      <c r="G459" s="27">
        <v>19.100000000000001</v>
      </c>
      <c r="H459" s="24">
        <f t="shared" si="42"/>
        <v>31.692593015690473</v>
      </c>
      <c r="I459" s="25">
        <f t="shared" si="43"/>
        <v>12.14793248905516</v>
      </c>
      <c r="J459" s="24">
        <f t="shared" si="44"/>
        <v>0.10997485833866186</v>
      </c>
      <c r="K459" s="14">
        <v>0.24</v>
      </c>
      <c r="L459" s="27">
        <v>1.64</v>
      </c>
      <c r="M459" s="27">
        <v>1.35</v>
      </c>
      <c r="N459" s="4">
        <f t="shared" si="45"/>
        <v>1.2148148148148146</v>
      </c>
      <c r="O459" s="20">
        <f t="shared" si="46"/>
        <v>16.399999999999999</v>
      </c>
      <c r="P459">
        <f t="shared" si="47"/>
        <v>856.55591623036662</v>
      </c>
    </row>
    <row r="460" spans="1:16">
      <c r="A460" t="s">
        <v>465</v>
      </c>
      <c r="B460" t="s">
        <v>524</v>
      </c>
      <c r="C460" s="14">
        <v>0.1</v>
      </c>
      <c r="D460">
        <v>500</v>
      </c>
      <c r="E460" s="26">
        <v>4.5999999999999996</v>
      </c>
      <c r="F460">
        <v>916</v>
      </c>
      <c r="G460" s="27">
        <v>19.100000000000001</v>
      </c>
      <c r="H460" s="24">
        <f t="shared" si="42"/>
        <v>21.128395343793649</v>
      </c>
      <c r="I460" s="25">
        <f t="shared" si="43"/>
        <v>5.3990811062467383</v>
      </c>
      <c r="J460" s="24">
        <f t="shared" si="44"/>
        <v>0.10997485833866186</v>
      </c>
      <c r="K460" s="14">
        <v>0.24</v>
      </c>
      <c r="L460" s="27">
        <v>1.64</v>
      </c>
      <c r="M460" s="27">
        <v>1.35</v>
      </c>
      <c r="N460" s="4">
        <f t="shared" si="45"/>
        <v>1.2148148148148146</v>
      </c>
      <c r="O460" s="20">
        <f t="shared" si="46"/>
        <v>16.399999999999999</v>
      </c>
      <c r="P460">
        <f t="shared" si="47"/>
        <v>856.55591623036662</v>
      </c>
    </row>
    <row r="461" spans="1:16">
      <c r="A461" t="s">
        <v>466</v>
      </c>
      <c r="B461" t="s">
        <v>525</v>
      </c>
      <c r="C461" s="14">
        <v>0.1</v>
      </c>
      <c r="D461">
        <v>250</v>
      </c>
      <c r="E461" s="26">
        <v>4.5999999999999996</v>
      </c>
      <c r="F461">
        <v>916</v>
      </c>
      <c r="G461" s="27">
        <v>19.100000000000001</v>
      </c>
      <c r="H461" s="24">
        <f t="shared" si="42"/>
        <v>10.564197671896824</v>
      </c>
      <c r="I461" s="25">
        <f t="shared" si="43"/>
        <v>1.3497702765616846</v>
      </c>
      <c r="J461" s="24">
        <f t="shared" si="44"/>
        <v>0.10997485833866186</v>
      </c>
      <c r="K461" s="14">
        <v>0.24</v>
      </c>
      <c r="L461" s="27">
        <v>1.64</v>
      </c>
      <c r="M461" s="27">
        <v>1.35</v>
      </c>
      <c r="N461" s="4">
        <f t="shared" si="45"/>
        <v>1.2148148148148146</v>
      </c>
      <c r="O461" s="20">
        <f t="shared" si="46"/>
        <v>16.399999999999999</v>
      </c>
      <c r="P461">
        <f t="shared" si="47"/>
        <v>856.55591623036662</v>
      </c>
    </row>
    <row r="462" spans="1:16">
      <c r="A462" t="s">
        <v>467</v>
      </c>
      <c r="B462" t="s">
        <v>524</v>
      </c>
      <c r="C462" s="14">
        <v>0.1</v>
      </c>
      <c r="D462">
        <v>100</v>
      </c>
      <c r="E462" s="26">
        <v>4.5999999999999996</v>
      </c>
      <c r="F462">
        <v>916</v>
      </c>
      <c r="G462" s="27">
        <v>19.100000000000001</v>
      </c>
      <c r="H462" s="24">
        <f t="shared" si="42"/>
        <v>4.2256790687587289</v>
      </c>
      <c r="I462" s="25">
        <f t="shared" si="43"/>
        <v>0.21596324424986951</v>
      </c>
      <c r="J462" s="24">
        <f t="shared" si="44"/>
        <v>0.10997485833866188</v>
      </c>
      <c r="K462" s="14">
        <v>0.24</v>
      </c>
      <c r="L462" s="27">
        <v>1.64</v>
      </c>
      <c r="M462" s="27">
        <v>1.35</v>
      </c>
      <c r="N462" s="4">
        <f t="shared" si="45"/>
        <v>1.2148148148148146</v>
      </c>
      <c r="O462" s="20">
        <f t="shared" si="46"/>
        <v>16.399999999999999</v>
      </c>
      <c r="P462">
        <f t="shared" si="47"/>
        <v>856.55591623036662</v>
      </c>
    </row>
    <row r="463" spans="1:16">
      <c r="A463" t="s">
        <v>468</v>
      </c>
      <c r="B463" t="s">
        <v>527</v>
      </c>
      <c r="C463" s="14">
        <v>2.38</v>
      </c>
      <c r="D463">
        <v>1000</v>
      </c>
      <c r="E463" s="26">
        <v>1.81</v>
      </c>
      <c r="F463">
        <v>900</v>
      </c>
      <c r="G463" s="27">
        <v>17.7</v>
      </c>
      <c r="H463" s="24">
        <f t="shared" si="42"/>
        <v>4.4334911488526494</v>
      </c>
      <c r="I463" s="25">
        <f t="shared" si="43"/>
        <v>1.6984630701788971E-3</v>
      </c>
      <c r="J463" s="24">
        <f t="shared" si="44"/>
        <v>9.2957023362165367E-3</v>
      </c>
      <c r="K463" s="14">
        <v>2.8</v>
      </c>
      <c r="L463" s="27">
        <v>9.5500000000000007</v>
      </c>
      <c r="M463" s="27">
        <v>2.75</v>
      </c>
      <c r="N463" s="4">
        <f t="shared" si="45"/>
        <v>3.4727272727272731</v>
      </c>
      <c r="O463" s="20">
        <f t="shared" si="46"/>
        <v>4.0126050420168076</v>
      </c>
      <c r="P463">
        <f t="shared" si="47"/>
        <v>3768.4322033898306</v>
      </c>
    </row>
    <row r="464" spans="1:16">
      <c r="A464" t="s">
        <v>469</v>
      </c>
      <c r="B464" t="s">
        <v>527</v>
      </c>
      <c r="C464" s="14">
        <v>2.38</v>
      </c>
      <c r="D464">
        <v>750</v>
      </c>
      <c r="E464" s="26">
        <v>1.81</v>
      </c>
      <c r="F464">
        <v>900</v>
      </c>
      <c r="G464" s="27">
        <v>17.7</v>
      </c>
      <c r="H464" s="24">
        <f t="shared" si="42"/>
        <v>3.3251183616394875</v>
      </c>
      <c r="I464" s="25">
        <f t="shared" si="43"/>
        <v>9.5538547697562935E-4</v>
      </c>
      <c r="J464" s="24">
        <f t="shared" si="44"/>
        <v>9.295702336216535E-3</v>
      </c>
      <c r="K464" s="14">
        <v>2.8</v>
      </c>
      <c r="L464" s="27">
        <v>9.5299999999999994</v>
      </c>
      <c r="M464" s="27">
        <v>2.76</v>
      </c>
      <c r="N464" s="4">
        <f t="shared" si="45"/>
        <v>3.4528985507246377</v>
      </c>
      <c r="O464" s="20">
        <f t="shared" si="46"/>
        <v>4.0042016806722689</v>
      </c>
      <c r="P464">
        <f t="shared" si="47"/>
        <v>3795.8888135593224</v>
      </c>
    </row>
    <row r="465" spans="1:16">
      <c r="A465" t="s">
        <v>470</v>
      </c>
      <c r="B465" t="s">
        <v>526</v>
      </c>
      <c r="C465" s="14">
        <v>2.38</v>
      </c>
      <c r="D465">
        <v>500</v>
      </c>
      <c r="E465" s="26">
        <v>1.81</v>
      </c>
      <c r="F465">
        <v>900</v>
      </c>
      <c r="G465" s="27">
        <v>17.7</v>
      </c>
      <c r="H465" s="24">
        <f t="shared" si="42"/>
        <v>2.2167455744263247</v>
      </c>
      <c r="I465" s="25">
        <f t="shared" si="43"/>
        <v>4.2461576754472427E-4</v>
      </c>
      <c r="J465" s="24">
        <f t="shared" si="44"/>
        <v>9.2957023362165367E-3</v>
      </c>
      <c r="K465" s="14">
        <v>2.8</v>
      </c>
      <c r="L465" s="27">
        <v>9.3000000000000007</v>
      </c>
      <c r="M465" s="27">
        <v>2.75</v>
      </c>
      <c r="N465" s="4">
        <f t="shared" si="45"/>
        <v>3.3818181818181823</v>
      </c>
      <c r="O465" s="20">
        <f t="shared" si="46"/>
        <v>3.9075630252100844</v>
      </c>
      <c r="P465">
        <f t="shared" si="47"/>
        <v>3768.4322033898306</v>
      </c>
    </row>
    <row r="466" spans="1:16">
      <c r="A466" t="s">
        <v>471</v>
      </c>
      <c r="B466" t="s">
        <v>526</v>
      </c>
      <c r="C466" s="14">
        <v>2.38</v>
      </c>
      <c r="D466">
        <v>250</v>
      </c>
      <c r="E466" s="26">
        <v>1.81</v>
      </c>
      <c r="F466">
        <v>900</v>
      </c>
      <c r="G466" s="27">
        <v>17.7</v>
      </c>
      <c r="H466" s="24">
        <f t="shared" si="42"/>
        <v>1.1083727872131623</v>
      </c>
      <c r="I466" s="25">
        <f t="shared" si="43"/>
        <v>1.0615394188618107E-4</v>
      </c>
      <c r="J466" s="24">
        <f t="shared" si="44"/>
        <v>9.2957023362165367E-3</v>
      </c>
      <c r="K466" s="14">
        <v>2.8</v>
      </c>
      <c r="L466" s="27">
        <v>9.25</v>
      </c>
      <c r="M466" s="27">
        <v>2.74</v>
      </c>
      <c r="N466" s="4">
        <f t="shared" si="45"/>
        <v>3.3759124087591239</v>
      </c>
      <c r="O466" s="20">
        <f t="shared" si="46"/>
        <v>3.8865546218487395</v>
      </c>
      <c r="P466">
        <f t="shared" si="47"/>
        <v>3741.0752542372888</v>
      </c>
    </row>
    <row r="467" spans="1:16">
      <c r="A467" t="s">
        <v>472</v>
      </c>
      <c r="B467" t="s">
        <v>526</v>
      </c>
      <c r="C467" s="14">
        <v>2.38</v>
      </c>
      <c r="D467">
        <v>100</v>
      </c>
      <c r="E467" s="26">
        <v>1.81</v>
      </c>
      <c r="F467">
        <v>900</v>
      </c>
      <c r="G467" s="27">
        <v>17.7</v>
      </c>
      <c r="H467" s="24">
        <f t="shared" si="42"/>
        <v>0.44334911488526496</v>
      </c>
      <c r="I467" s="25">
        <f t="shared" si="43"/>
        <v>1.6984630701788967E-5</v>
      </c>
      <c r="J467" s="24">
        <f t="shared" si="44"/>
        <v>9.295702336216535E-3</v>
      </c>
      <c r="K467" s="14">
        <v>2.8</v>
      </c>
      <c r="L467" s="27">
        <v>9.08</v>
      </c>
      <c r="M467" s="27">
        <v>2.75</v>
      </c>
      <c r="N467" s="4">
        <f t="shared" si="45"/>
        <v>3.3018181818181818</v>
      </c>
      <c r="O467" s="20">
        <f t="shared" si="46"/>
        <v>3.8151260504201683</v>
      </c>
      <c r="P467">
        <f t="shared" si="47"/>
        <v>3768.4322033898306</v>
      </c>
    </row>
    <row r="468" spans="1:16">
      <c r="A468" t="s">
        <v>473</v>
      </c>
      <c r="B468" t="s">
        <v>526</v>
      </c>
      <c r="C468" s="14">
        <v>1.79</v>
      </c>
      <c r="D468">
        <v>1000</v>
      </c>
      <c r="E468" s="26">
        <v>1.81</v>
      </c>
      <c r="F468">
        <v>900</v>
      </c>
      <c r="G468" s="27">
        <v>17.7</v>
      </c>
      <c r="H468" s="24">
        <f t="shared" ref="H468:H492" si="48">(4/60*F468*D468*10^(-9))/(PI()*C468*E468*10^(-6))</f>
        <v>5.8948094604856447</v>
      </c>
      <c r="I468" s="25">
        <f t="shared" ref="I468:I492" si="49">(16 * F468 * (D468 * 10^-9 / 60)^2) / (PI()^2 * (C468 * 10^-3)^3 * (G468 * 10^-3))</f>
        <v>3.9923433699449659E-3</v>
      </c>
      <c r="J468" s="24">
        <f t="shared" si="44"/>
        <v>1.0718750734398175E-2</v>
      </c>
      <c r="K468" s="14">
        <v>2.4</v>
      </c>
      <c r="L468" s="27">
        <v>8.27</v>
      </c>
      <c r="M468" s="27">
        <v>2.54</v>
      </c>
      <c r="N468" s="4">
        <f t="shared" si="45"/>
        <v>3.2559055118110236</v>
      </c>
      <c r="O468" s="20">
        <f t="shared" si="46"/>
        <v>4.6201117318435747</v>
      </c>
      <c r="P468">
        <f t="shared" si="47"/>
        <v>3214.8650847457634</v>
      </c>
    </row>
    <row r="469" spans="1:16">
      <c r="A469" t="s">
        <v>474</v>
      </c>
      <c r="B469" t="s">
        <v>526</v>
      </c>
      <c r="C469" s="14">
        <v>1.79</v>
      </c>
      <c r="D469">
        <v>750</v>
      </c>
      <c r="E469" s="26">
        <v>1.81</v>
      </c>
      <c r="F469">
        <v>900</v>
      </c>
      <c r="G469" s="27">
        <v>17.7</v>
      </c>
      <c r="H469" s="24">
        <f>(4/60*F469*D469*10^(-9))/(PI()*C469*E469*10^(-6))</f>
        <v>4.421107095364234</v>
      </c>
      <c r="I469" s="25">
        <f t="shared" si="49"/>
        <v>2.2456931455940425E-3</v>
      </c>
      <c r="J469" s="24">
        <f t="shared" si="44"/>
        <v>1.0718750734398172E-2</v>
      </c>
      <c r="K469" s="14">
        <v>2.4</v>
      </c>
      <c r="L469" s="27">
        <v>8.2100000000000009</v>
      </c>
      <c r="M469" s="27">
        <v>2.5499999999999998</v>
      </c>
      <c r="N469" s="4">
        <f t="shared" si="45"/>
        <v>3.2196078431372555</v>
      </c>
      <c r="O469" s="20">
        <f t="shared" si="46"/>
        <v>4.5865921787709505</v>
      </c>
      <c r="P469">
        <f t="shared" si="47"/>
        <v>3240.2288135593221</v>
      </c>
    </row>
    <row r="470" spans="1:16">
      <c r="A470" t="s">
        <v>475</v>
      </c>
      <c r="B470" t="s">
        <v>526</v>
      </c>
      <c r="C470" s="14">
        <v>1.79</v>
      </c>
      <c r="D470">
        <v>500</v>
      </c>
      <c r="E470" s="26">
        <v>1.81</v>
      </c>
      <c r="F470">
        <v>900</v>
      </c>
      <c r="G470" s="27">
        <v>17.7</v>
      </c>
      <c r="H470" s="24">
        <f t="shared" si="48"/>
        <v>2.9474047302428223</v>
      </c>
      <c r="I470" s="25">
        <f t="shared" si="49"/>
        <v>9.9808584248624148E-4</v>
      </c>
      <c r="J470" s="24">
        <f t="shared" si="44"/>
        <v>1.0718750734398175E-2</v>
      </c>
      <c r="K470" s="14">
        <v>2.4</v>
      </c>
      <c r="L470" s="27">
        <v>8.14</v>
      </c>
      <c r="M470" s="27">
        <v>2.54</v>
      </c>
      <c r="N470" s="4">
        <f t="shared" si="45"/>
        <v>3.204724409448819</v>
      </c>
      <c r="O470" s="20">
        <f t="shared" si="46"/>
        <v>4.5474860335195535</v>
      </c>
      <c r="P470">
        <f t="shared" si="47"/>
        <v>3214.8650847457634</v>
      </c>
    </row>
    <row r="471" spans="1:16">
      <c r="A471" t="s">
        <v>476</v>
      </c>
      <c r="B471" t="s">
        <v>526</v>
      </c>
      <c r="C471" s="14">
        <v>1.79</v>
      </c>
      <c r="D471">
        <v>250</v>
      </c>
      <c r="E471" s="26">
        <v>1.81</v>
      </c>
      <c r="F471">
        <v>900</v>
      </c>
      <c r="G471" s="27">
        <v>17.7</v>
      </c>
      <c r="H471" s="24">
        <f t="shared" si="48"/>
        <v>1.4737023651214112</v>
      </c>
      <c r="I471" s="25">
        <f t="shared" si="49"/>
        <v>2.4952146062156037E-4</v>
      </c>
      <c r="J471" s="24">
        <f t="shared" si="44"/>
        <v>1.0718750734398175E-2</v>
      </c>
      <c r="K471" s="14">
        <v>2.4</v>
      </c>
      <c r="L471" s="27">
        <v>7.92</v>
      </c>
      <c r="M471" s="27">
        <v>2.54</v>
      </c>
      <c r="N471" s="4">
        <f t="shared" si="45"/>
        <v>3.1181102362204722</v>
      </c>
      <c r="O471" s="20">
        <f t="shared" si="46"/>
        <v>4.4245810055865924</v>
      </c>
      <c r="P471">
        <f t="shared" si="47"/>
        <v>3214.8650847457634</v>
      </c>
    </row>
    <row r="472" spans="1:16">
      <c r="A472" t="s">
        <v>477</v>
      </c>
      <c r="B472" t="s">
        <v>526</v>
      </c>
      <c r="C472" s="14">
        <v>1.79</v>
      </c>
      <c r="D472">
        <v>100</v>
      </c>
      <c r="E472" s="26">
        <v>1.81</v>
      </c>
      <c r="F472">
        <v>900</v>
      </c>
      <c r="G472" s="27">
        <v>17.7</v>
      </c>
      <c r="H472" s="24">
        <f t="shared" si="48"/>
        <v>0.58948094604856449</v>
      </c>
      <c r="I472" s="25">
        <f t="shared" si="49"/>
        <v>3.9923433699449655E-5</v>
      </c>
      <c r="J472" s="24">
        <f t="shared" si="44"/>
        <v>1.0718750734398173E-2</v>
      </c>
      <c r="K472" s="14">
        <v>2.4</v>
      </c>
      <c r="L472" s="27">
        <v>7.91</v>
      </c>
      <c r="M472" s="27">
        <v>2.5099999999999998</v>
      </c>
      <c r="N472" s="4">
        <f t="shared" si="45"/>
        <v>3.1513944223107573</v>
      </c>
      <c r="O472" s="20">
        <f t="shared" si="46"/>
        <v>4.4189944134078214</v>
      </c>
      <c r="P472">
        <f t="shared" si="47"/>
        <v>3139.3718644067799</v>
      </c>
    </row>
    <row r="473" spans="1:16">
      <c r="A473" t="s">
        <v>478</v>
      </c>
      <c r="B473" t="s">
        <v>526</v>
      </c>
      <c r="C473" s="14">
        <v>1.37</v>
      </c>
      <c r="D473">
        <v>1000</v>
      </c>
      <c r="E473" s="26">
        <v>1.81</v>
      </c>
      <c r="F473">
        <v>900</v>
      </c>
      <c r="G473" s="27">
        <v>17.7</v>
      </c>
      <c r="H473" s="24">
        <f t="shared" si="48"/>
        <v>7.7019773242841625</v>
      </c>
      <c r="I473" s="25">
        <f t="shared" si="49"/>
        <v>8.9048227260266431E-3</v>
      </c>
      <c r="J473" s="24">
        <f t="shared" si="44"/>
        <v>1.2252096349093342E-2</v>
      </c>
      <c r="K473" s="14">
        <v>1.8</v>
      </c>
      <c r="L473" s="27">
        <v>6.58</v>
      </c>
      <c r="M473" s="27">
        <v>2.36</v>
      </c>
      <c r="N473" s="4">
        <f t="shared" si="45"/>
        <v>2.7881355932203391</v>
      </c>
      <c r="O473" s="20">
        <f t="shared" si="46"/>
        <v>4.8029197080291963</v>
      </c>
      <c r="P473">
        <f t="shared" si="47"/>
        <v>2775.3599999999997</v>
      </c>
    </row>
    <row r="474" spans="1:16">
      <c r="A474" t="s">
        <v>479</v>
      </c>
      <c r="B474" t="s">
        <v>526</v>
      </c>
      <c r="C474" s="14">
        <v>1.37</v>
      </c>
      <c r="D474">
        <v>750</v>
      </c>
      <c r="E474" s="26">
        <v>1.81</v>
      </c>
      <c r="F474">
        <v>900</v>
      </c>
      <c r="G474" s="27">
        <v>17.7</v>
      </c>
      <c r="H474" s="24">
        <f t="shared" si="48"/>
        <v>5.7764829932131221</v>
      </c>
      <c r="I474" s="25">
        <f t="shared" si="49"/>
        <v>5.0089627833899862E-3</v>
      </c>
      <c r="J474" s="24">
        <f t="shared" si="44"/>
        <v>1.225209634909334E-2</v>
      </c>
      <c r="K474" s="14">
        <v>1.8</v>
      </c>
      <c r="L474" s="27">
        <v>6.59</v>
      </c>
      <c r="M474" s="27">
        <v>2.37</v>
      </c>
      <c r="N474" s="4">
        <f t="shared" si="45"/>
        <v>2.7805907172995781</v>
      </c>
      <c r="O474" s="20">
        <f t="shared" si="46"/>
        <v>4.8102189781021893</v>
      </c>
      <c r="P474">
        <f t="shared" si="47"/>
        <v>2798.9298305084749</v>
      </c>
    </row>
    <row r="475" spans="1:16">
      <c r="A475" t="s">
        <v>480</v>
      </c>
      <c r="B475" t="s">
        <v>526</v>
      </c>
      <c r="C475" s="14">
        <v>1.37</v>
      </c>
      <c r="D475">
        <v>500</v>
      </c>
      <c r="E475" s="26">
        <v>1.81</v>
      </c>
      <c r="F475">
        <v>900</v>
      </c>
      <c r="G475" s="27">
        <v>17.7</v>
      </c>
      <c r="H475" s="24">
        <f t="shared" si="48"/>
        <v>3.8509886621420812</v>
      </c>
      <c r="I475" s="25">
        <f t="shared" si="49"/>
        <v>2.2262056815066608E-3</v>
      </c>
      <c r="J475" s="24">
        <f t="shared" si="44"/>
        <v>1.2252096349093342E-2</v>
      </c>
      <c r="K475" s="14">
        <v>1.8</v>
      </c>
      <c r="L475" s="27">
        <v>6.42</v>
      </c>
      <c r="M475" s="27">
        <v>2.34</v>
      </c>
      <c r="N475" s="4">
        <f t="shared" si="45"/>
        <v>2.7435897435897436</v>
      </c>
      <c r="O475" s="20">
        <f t="shared" si="46"/>
        <v>4.6861313868613133</v>
      </c>
      <c r="P475">
        <f t="shared" si="47"/>
        <v>2728.5193220338983</v>
      </c>
    </row>
    <row r="476" spans="1:16">
      <c r="A476" t="s">
        <v>481</v>
      </c>
      <c r="B476" t="s">
        <v>526</v>
      </c>
      <c r="C476" s="14">
        <v>1.37</v>
      </c>
      <c r="D476">
        <v>250</v>
      </c>
      <c r="E476" s="26">
        <v>1.81</v>
      </c>
      <c r="F476">
        <v>900</v>
      </c>
      <c r="G476" s="27">
        <v>17.7</v>
      </c>
      <c r="H476" s="24">
        <f t="shared" si="48"/>
        <v>1.9254943310710406</v>
      </c>
      <c r="I476" s="25">
        <f t="shared" si="49"/>
        <v>5.5655142037666519E-4</v>
      </c>
      <c r="J476" s="24">
        <f t="shared" si="44"/>
        <v>1.2252096349093342E-2</v>
      </c>
      <c r="K476" s="14">
        <v>1.8</v>
      </c>
      <c r="L476" s="27">
        <v>6.17</v>
      </c>
      <c r="M476" s="27">
        <v>2.35</v>
      </c>
      <c r="N476" s="4">
        <f t="shared" si="45"/>
        <v>2.6255319148936169</v>
      </c>
      <c r="O476" s="20">
        <f t="shared" si="46"/>
        <v>4.5036496350364956</v>
      </c>
      <c r="P476">
        <f t="shared" si="47"/>
        <v>2751.8898305084749</v>
      </c>
    </row>
    <row r="477" spans="1:16">
      <c r="A477" t="s">
        <v>482</v>
      </c>
      <c r="B477" t="s">
        <v>526</v>
      </c>
      <c r="C477" s="14">
        <v>1.37</v>
      </c>
      <c r="D477">
        <v>100</v>
      </c>
      <c r="E477" s="26">
        <v>1.81</v>
      </c>
      <c r="F477">
        <v>900</v>
      </c>
      <c r="G477" s="27">
        <v>17.7</v>
      </c>
      <c r="H477" s="24">
        <f t="shared" si="48"/>
        <v>0.77019773242841627</v>
      </c>
      <c r="I477" s="25">
        <f t="shared" si="49"/>
        <v>8.9048227260266424E-5</v>
      </c>
      <c r="J477" s="24">
        <f t="shared" si="44"/>
        <v>1.225209634909334E-2</v>
      </c>
      <c r="K477" s="14">
        <v>1.8</v>
      </c>
      <c r="L477" s="27">
        <v>6.13</v>
      </c>
      <c r="M477" s="27">
        <v>2.33</v>
      </c>
      <c r="N477" s="4">
        <f t="shared" si="45"/>
        <v>2.6309012875536482</v>
      </c>
      <c r="O477" s="20">
        <f t="shared" si="46"/>
        <v>4.4744525547445253</v>
      </c>
      <c r="P477">
        <f t="shared" si="47"/>
        <v>2705.2484745762717</v>
      </c>
    </row>
    <row r="478" spans="1:16">
      <c r="A478" t="s">
        <v>483</v>
      </c>
      <c r="B478" t="s">
        <v>526</v>
      </c>
      <c r="C478" s="14">
        <v>0.83</v>
      </c>
      <c r="D478">
        <v>1000</v>
      </c>
      <c r="E478" s="26">
        <v>1.81</v>
      </c>
      <c r="F478">
        <v>900</v>
      </c>
      <c r="G478" s="27">
        <v>17.7</v>
      </c>
      <c r="H478" s="24">
        <f t="shared" si="48"/>
        <v>12.712902330444944</v>
      </c>
      <c r="I478" s="25">
        <f t="shared" si="49"/>
        <v>4.0045406123323538E-2</v>
      </c>
      <c r="J478" s="24">
        <f t="shared" si="44"/>
        <v>1.5740975420933882E-2</v>
      </c>
      <c r="K478" s="14">
        <v>1.27</v>
      </c>
      <c r="L478" s="27">
        <v>4.6900000000000004</v>
      </c>
      <c r="M478" s="27">
        <v>2.14</v>
      </c>
      <c r="N478" s="4">
        <f t="shared" si="45"/>
        <v>2.1915887850467288</v>
      </c>
      <c r="O478" s="20">
        <f t="shared" si="46"/>
        <v>5.6506024096385552</v>
      </c>
      <c r="P478">
        <f t="shared" si="47"/>
        <v>2282.0379661016955</v>
      </c>
    </row>
    <row r="479" spans="1:16">
      <c r="A479" t="s">
        <v>484</v>
      </c>
      <c r="B479" t="s">
        <v>526</v>
      </c>
      <c r="C479" s="14">
        <v>0.83</v>
      </c>
      <c r="D479">
        <v>750</v>
      </c>
      <c r="E479" s="26">
        <v>1.81</v>
      </c>
      <c r="F479">
        <v>900</v>
      </c>
      <c r="G479" s="27">
        <v>17.7</v>
      </c>
      <c r="H479" s="24">
        <f t="shared" si="48"/>
        <v>9.5346767478337089</v>
      </c>
      <c r="I479" s="25">
        <f t="shared" si="49"/>
        <v>2.2525540944369482E-2</v>
      </c>
      <c r="J479" s="24">
        <f t="shared" si="44"/>
        <v>1.5740975420933875E-2</v>
      </c>
      <c r="K479" s="14">
        <v>1.27</v>
      </c>
      <c r="L479" s="27">
        <v>4.66</v>
      </c>
      <c r="M479" s="27">
        <v>2.13</v>
      </c>
      <c r="N479" s="4">
        <f t="shared" si="45"/>
        <v>2.187793427230047</v>
      </c>
      <c r="O479" s="20">
        <f t="shared" si="46"/>
        <v>5.6144578313253017</v>
      </c>
      <c r="P479">
        <f t="shared" si="47"/>
        <v>2260.760338983051</v>
      </c>
    </row>
    <row r="480" spans="1:16">
      <c r="A480" t="s">
        <v>485</v>
      </c>
      <c r="B480" t="s">
        <v>526</v>
      </c>
      <c r="C480" s="14">
        <v>0.83</v>
      </c>
      <c r="D480">
        <v>500</v>
      </c>
      <c r="E480" s="26">
        <v>1.81</v>
      </c>
      <c r="F480">
        <v>900</v>
      </c>
      <c r="G480" s="27">
        <v>17.7</v>
      </c>
      <c r="H480" s="24">
        <f t="shared" si="48"/>
        <v>6.356451165222472</v>
      </c>
      <c r="I480" s="25">
        <f t="shared" si="49"/>
        <v>1.0011351530830884E-2</v>
      </c>
      <c r="J480" s="24">
        <f t="shared" si="44"/>
        <v>1.5740975420933882E-2</v>
      </c>
      <c r="K480" s="14">
        <v>1.27</v>
      </c>
      <c r="L480" s="27">
        <v>4.67</v>
      </c>
      <c r="M480" s="27">
        <v>2.14</v>
      </c>
      <c r="N480" s="4">
        <f t="shared" si="45"/>
        <v>2.1822429906542054</v>
      </c>
      <c r="O480" s="20">
        <f t="shared" si="46"/>
        <v>5.6265060240963853</v>
      </c>
      <c r="P480">
        <f t="shared" si="47"/>
        <v>2282.0379661016955</v>
      </c>
    </row>
    <row r="481" spans="1:16">
      <c r="A481" t="s">
        <v>486</v>
      </c>
      <c r="B481" t="s">
        <v>526</v>
      </c>
      <c r="C481" s="14">
        <v>0.83</v>
      </c>
      <c r="D481">
        <v>250</v>
      </c>
      <c r="E481" s="26">
        <v>1.81</v>
      </c>
      <c r="F481">
        <v>900</v>
      </c>
      <c r="G481" s="27">
        <v>17.7</v>
      </c>
      <c r="H481" s="24">
        <f t="shared" si="48"/>
        <v>3.178225582611236</v>
      </c>
      <c r="I481" s="25">
        <f t="shared" si="49"/>
        <v>2.5028378827077211E-3</v>
      </c>
      <c r="J481" s="24">
        <f t="shared" si="44"/>
        <v>1.5740975420933882E-2</v>
      </c>
      <c r="K481" s="14">
        <v>1.27</v>
      </c>
      <c r="L481" s="27">
        <v>4.67</v>
      </c>
      <c r="M481" s="27">
        <v>2.11</v>
      </c>
      <c r="N481" s="4">
        <f t="shared" si="45"/>
        <v>2.2132701421800949</v>
      </c>
      <c r="O481" s="20">
        <f t="shared" si="46"/>
        <v>5.6265060240963853</v>
      </c>
      <c r="P481">
        <f t="shared" si="47"/>
        <v>2218.5040677966103</v>
      </c>
    </row>
    <row r="482" spans="1:16">
      <c r="A482" t="s">
        <v>487</v>
      </c>
      <c r="B482" t="s">
        <v>526</v>
      </c>
      <c r="C482" s="14">
        <v>0.83</v>
      </c>
      <c r="D482">
        <v>100</v>
      </c>
      <c r="E482" s="26">
        <v>1.81</v>
      </c>
      <c r="F482">
        <v>900</v>
      </c>
      <c r="G482" s="27">
        <v>17.7</v>
      </c>
      <c r="H482" s="24">
        <f t="shared" si="48"/>
        <v>1.2712902330444944</v>
      </c>
      <c r="I482" s="25">
        <f t="shared" si="49"/>
        <v>4.0045406123323535E-4</v>
      </c>
      <c r="J482" s="24">
        <f t="shared" si="44"/>
        <v>1.5740975420933882E-2</v>
      </c>
      <c r="K482" s="14">
        <v>1.27</v>
      </c>
      <c r="L482" s="27">
        <v>4.66</v>
      </c>
      <c r="M482" s="27">
        <v>2.15</v>
      </c>
      <c r="N482" s="4">
        <f t="shared" si="45"/>
        <v>2.1674418604651162</v>
      </c>
      <c r="O482" s="20">
        <f t="shared" si="46"/>
        <v>5.6144578313253017</v>
      </c>
      <c r="P482">
        <f t="shared" si="47"/>
        <v>2303.4152542372885</v>
      </c>
    </row>
    <row r="483" spans="1:16">
      <c r="A483" t="s">
        <v>488</v>
      </c>
      <c r="B483" t="s">
        <v>526</v>
      </c>
      <c r="C483" s="14">
        <v>0.25</v>
      </c>
      <c r="D483">
        <v>1000</v>
      </c>
      <c r="E483" s="26">
        <v>1.81</v>
      </c>
      <c r="F483">
        <v>900</v>
      </c>
      <c r="G483" s="27">
        <v>17.7</v>
      </c>
      <c r="H483" s="24">
        <f t="shared" si="48"/>
        <v>42.20683573707722</v>
      </c>
      <c r="I483" s="25">
        <f t="shared" si="49"/>
        <v>1.4654363283863547</v>
      </c>
      <c r="J483" s="24">
        <f t="shared" si="44"/>
        <v>2.8681422208672213E-2</v>
      </c>
      <c r="K483" s="14">
        <v>0.51</v>
      </c>
      <c r="L483" s="27">
        <v>2.57</v>
      </c>
      <c r="M483" s="27">
        <v>1.69</v>
      </c>
      <c r="N483" s="4">
        <f t="shared" si="45"/>
        <v>1.5207100591715976</v>
      </c>
      <c r="O483" s="20">
        <f t="shared" si="46"/>
        <v>10.28</v>
      </c>
      <c r="P483">
        <f t="shared" si="47"/>
        <v>1423.209152542373</v>
      </c>
    </row>
    <row r="484" spans="1:16">
      <c r="A484" t="s">
        <v>489</v>
      </c>
      <c r="B484" t="s">
        <v>526</v>
      </c>
      <c r="C484" s="14">
        <v>0.25</v>
      </c>
      <c r="D484">
        <v>750</v>
      </c>
      <c r="E484" s="26">
        <v>1.81</v>
      </c>
      <c r="F484">
        <v>900</v>
      </c>
      <c r="G484" s="27">
        <v>17.7</v>
      </c>
      <c r="H484" s="24">
        <f t="shared" si="48"/>
        <v>31.655126802807917</v>
      </c>
      <c r="I484" s="25">
        <f t="shared" si="49"/>
        <v>0.82430793471732433</v>
      </c>
      <c r="J484" s="24">
        <f t="shared" si="44"/>
        <v>2.8681422208672206E-2</v>
      </c>
      <c r="K484" s="14">
        <v>0.51</v>
      </c>
      <c r="L484" s="27">
        <v>2.4500000000000002</v>
      </c>
      <c r="M484" s="27">
        <v>1.65</v>
      </c>
      <c r="N484" s="4">
        <f t="shared" si="45"/>
        <v>1.4848484848484851</v>
      </c>
      <c r="O484" s="20">
        <f t="shared" si="46"/>
        <v>9.8000000000000007</v>
      </c>
      <c r="P484">
        <f t="shared" si="47"/>
        <v>1356.6355932203392</v>
      </c>
    </row>
    <row r="485" spans="1:16">
      <c r="A485" t="s">
        <v>490</v>
      </c>
      <c r="B485" t="s">
        <v>526</v>
      </c>
      <c r="C485" s="14">
        <v>0.25</v>
      </c>
      <c r="D485">
        <v>500</v>
      </c>
      <c r="E485" s="26">
        <v>1.81</v>
      </c>
      <c r="F485">
        <v>900</v>
      </c>
      <c r="G485" s="27">
        <v>17.7</v>
      </c>
      <c r="H485" s="24">
        <f t="shared" si="48"/>
        <v>21.10341786853861</v>
      </c>
      <c r="I485" s="25">
        <f t="shared" si="49"/>
        <v>0.36635908209658868</v>
      </c>
      <c r="J485" s="24">
        <f t="shared" si="44"/>
        <v>2.8681422208672213E-2</v>
      </c>
      <c r="K485" s="14">
        <v>0.51</v>
      </c>
      <c r="L485" s="27">
        <v>2.38</v>
      </c>
      <c r="M485" s="27">
        <v>1.64</v>
      </c>
      <c r="N485" s="4">
        <f t="shared" si="45"/>
        <v>1.4512195121951219</v>
      </c>
      <c r="O485" s="20">
        <f t="shared" si="46"/>
        <v>9.52</v>
      </c>
      <c r="P485">
        <f t="shared" si="47"/>
        <v>1340.2413559322035</v>
      </c>
    </row>
    <row r="486" spans="1:16">
      <c r="A486" t="s">
        <v>491</v>
      </c>
      <c r="B486" t="s">
        <v>526</v>
      </c>
      <c r="C486" s="14">
        <v>0.25</v>
      </c>
      <c r="D486">
        <v>250</v>
      </c>
      <c r="E486" s="26">
        <v>1.81</v>
      </c>
      <c r="F486">
        <v>900</v>
      </c>
      <c r="G486" s="27">
        <v>17.7</v>
      </c>
      <c r="H486" s="24">
        <f t="shared" si="48"/>
        <v>10.551708934269305</v>
      </c>
      <c r="I486" s="25">
        <f t="shared" si="49"/>
        <v>9.1589770524147171E-2</v>
      </c>
      <c r="J486" s="24">
        <f t="shared" ref="J486:J492" si="50">SQRT(I486)/H486</f>
        <v>2.8681422208672213E-2</v>
      </c>
      <c r="K486" s="14">
        <v>0.51</v>
      </c>
      <c r="L486" s="27">
        <v>2.4900000000000002</v>
      </c>
      <c r="M486" s="27">
        <v>1.68</v>
      </c>
      <c r="N486" s="4">
        <f t="shared" ref="N486:N655" si="51">L486/M486</f>
        <v>1.4821428571428574</v>
      </c>
      <c r="O486" s="20">
        <f t="shared" ref="O486:O655" si="52">L486/C486</f>
        <v>9.9600000000000009</v>
      </c>
      <c r="P486">
        <f t="shared" si="47"/>
        <v>1406.4162711864408</v>
      </c>
    </row>
    <row r="487" spans="1:16">
      <c r="A487" t="s">
        <v>492</v>
      </c>
      <c r="B487" t="s">
        <v>526</v>
      </c>
      <c r="C487" s="14">
        <v>0.25</v>
      </c>
      <c r="D487">
        <v>100</v>
      </c>
      <c r="E487" s="26">
        <v>1.81</v>
      </c>
      <c r="F487">
        <v>900</v>
      </c>
      <c r="G487" s="27">
        <v>17.7</v>
      </c>
      <c r="H487" s="24">
        <f t="shared" si="48"/>
        <v>4.2206835737077215</v>
      </c>
      <c r="I487" s="25">
        <f t="shared" si="49"/>
        <v>1.4654363283863546E-2</v>
      </c>
      <c r="J487" s="24">
        <f t="shared" si="50"/>
        <v>2.8681422208672216E-2</v>
      </c>
      <c r="K487" s="14">
        <v>0.51</v>
      </c>
      <c r="L487" s="27">
        <v>2.38</v>
      </c>
      <c r="M487" s="27">
        <v>1.67</v>
      </c>
      <c r="N487" s="4">
        <f t="shared" si="51"/>
        <v>1.4251497005988023</v>
      </c>
      <c r="O487" s="20">
        <f t="shared" si="52"/>
        <v>9.52</v>
      </c>
      <c r="P487">
        <f t="shared" si="47"/>
        <v>1389.7230508474577</v>
      </c>
    </row>
    <row r="488" spans="1:16">
      <c r="A488" t="s">
        <v>493</v>
      </c>
      <c r="B488" t="s">
        <v>526</v>
      </c>
      <c r="C488" s="14">
        <v>0.1</v>
      </c>
      <c r="D488">
        <v>1000</v>
      </c>
      <c r="E488" s="26">
        <v>1.81</v>
      </c>
      <c r="F488">
        <v>900</v>
      </c>
      <c r="G488" s="27">
        <v>17.7</v>
      </c>
      <c r="H488" s="24">
        <f t="shared" si="48"/>
        <v>105.51708934269304</v>
      </c>
      <c r="I488" s="25">
        <f t="shared" si="49"/>
        <v>22.897442631036796</v>
      </c>
      <c r="J488" s="24">
        <f t="shared" si="50"/>
        <v>4.5349310356170687E-2</v>
      </c>
      <c r="K488" s="14">
        <v>0.24</v>
      </c>
      <c r="L488" s="27">
        <v>1.69</v>
      </c>
      <c r="M488" s="27">
        <v>1.34</v>
      </c>
      <c r="N488" s="4">
        <f t="shared" si="51"/>
        <v>1.2611940298507462</v>
      </c>
      <c r="O488" s="20">
        <f t="shared" si="52"/>
        <v>16.899999999999999</v>
      </c>
      <c r="P488">
        <f t="shared" si="47"/>
        <v>894.75661016949175</v>
      </c>
    </row>
    <row r="489" spans="1:16">
      <c r="A489" t="s">
        <v>494</v>
      </c>
      <c r="B489" t="s">
        <v>526</v>
      </c>
      <c r="C489" s="14">
        <v>0.1</v>
      </c>
      <c r="D489">
        <v>750</v>
      </c>
      <c r="E489" s="26">
        <v>1.81</v>
      </c>
      <c r="F489">
        <v>900</v>
      </c>
      <c r="G489" s="27">
        <v>17.7</v>
      </c>
      <c r="H489" s="24">
        <f t="shared" si="48"/>
        <v>79.137817007019791</v>
      </c>
      <c r="I489" s="25">
        <f t="shared" si="49"/>
        <v>12.879811479958194</v>
      </c>
      <c r="J489" s="24">
        <f t="shared" si="50"/>
        <v>4.5349310356170673E-2</v>
      </c>
      <c r="K489" s="14">
        <v>0.24</v>
      </c>
      <c r="L489" s="27">
        <v>1.75</v>
      </c>
      <c r="M489" s="27">
        <v>1.41</v>
      </c>
      <c r="N489" s="4">
        <f t="shared" si="51"/>
        <v>1.2411347517730498</v>
      </c>
      <c r="O489" s="20">
        <f t="shared" si="52"/>
        <v>17.5</v>
      </c>
      <c r="P489">
        <f t="shared" si="47"/>
        <v>990.680338983051</v>
      </c>
    </row>
    <row r="490" spans="1:16">
      <c r="A490" t="s">
        <v>495</v>
      </c>
      <c r="B490" t="s">
        <v>526</v>
      </c>
      <c r="C490" s="14">
        <v>0.1</v>
      </c>
      <c r="D490">
        <v>500</v>
      </c>
      <c r="E490" s="26">
        <v>1.81</v>
      </c>
      <c r="F490">
        <v>900</v>
      </c>
      <c r="G490" s="27">
        <v>17.7</v>
      </c>
      <c r="H490" s="24">
        <f t="shared" si="48"/>
        <v>52.75854467134652</v>
      </c>
      <c r="I490" s="25">
        <f t="shared" si="49"/>
        <v>5.724360657759199</v>
      </c>
      <c r="J490" s="24">
        <f t="shared" si="50"/>
        <v>4.5349310356170687E-2</v>
      </c>
      <c r="K490" s="14">
        <v>0.24</v>
      </c>
      <c r="L490" s="27">
        <v>1.63</v>
      </c>
      <c r="M490" s="27">
        <v>1.29</v>
      </c>
      <c r="N490" s="4">
        <f t="shared" si="51"/>
        <v>1.263565891472868</v>
      </c>
      <c r="O490" s="20">
        <f t="shared" si="52"/>
        <v>16.299999999999997</v>
      </c>
      <c r="P490">
        <f t="shared" si="47"/>
        <v>829.22949152542378</v>
      </c>
    </row>
    <row r="491" spans="1:16">
      <c r="A491" t="s">
        <v>496</v>
      </c>
      <c r="B491" t="s">
        <v>526</v>
      </c>
      <c r="C491" s="14">
        <v>0.1</v>
      </c>
      <c r="D491">
        <v>250</v>
      </c>
      <c r="E491" s="26">
        <v>1.81</v>
      </c>
      <c r="F491">
        <v>900</v>
      </c>
      <c r="G491" s="27">
        <v>17.7</v>
      </c>
      <c r="H491" s="24">
        <f t="shared" si="48"/>
        <v>26.37927233567326</v>
      </c>
      <c r="I491" s="25">
        <f t="shared" si="49"/>
        <v>1.4310901644397998</v>
      </c>
      <c r="J491" s="24">
        <f t="shared" si="50"/>
        <v>4.5349310356170687E-2</v>
      </c>
      <c r="K491" s="14">
        <v>0.24</v>
      </c>
      <c r="L491" s="27">
        <v>1.72</v>
      </c>
      <c r="M491" s="27">
        <v>1.39</v>
      </c>
      <c r="N491" s="4">
        <f t="shared" si="51"/>
        <v>1.2374100719424461</v>
      </c>
      <c r="O491" s="20">
        <f t="shared" si="52"/>
        <v>17.2</v>
      </c>
      <c r="P491">
        <f t="shared" si="47"/>
        <v>962.7752542372881</v>
      </c>
    </row>
    <row r="492" spans="1:16">
      <c r="A492" t="s">
        <v>497</v>
      </c>
      <c r="B492" t="s">
        <v>526</v>
      </c>
      <c r="C492" s="14">
        <v>0.1</v>
      </c>
      <c r="D492">
        <v>100</v>
      </c>
      <c r="E492" s="26">
        <v>1.81</v>
      </c>
      <c r="F492">
        <v>900</v>
      </c>
      <c r="G492" s="27">
        <v>17.7</v>
      </c>
      <c r="H492" s="24">
        <f t="shared" si="48"/>
        <v>10.551708934269305</v>
      </c>
      <c r="I492" s="25">
        <f t="shared" si="49"/>
        <v>0.22897442631036793</v>
      </c>
      <c r="J492" s="24">
        <f t="shared" si="50"/>
        <v>4.534931035617068E-2</v>
      </c>
      <c r="K492" s="14">
        <v>0.24</v>
      </c>
      <c r="L492" s="27">
        <v>1.59</v>
      </c>
      <c r="M492" s="27">
        <v>1.29</v>
      </c>
      <c r="N492" s="4">
        <f t="shared" si="51"/>
        <v>1.2325581395348837</v>
      </c>
      <c r="O492" s="20">
        <f t="shared" si="52"/>
        <v>15.9</v>
      </c>
      <c r="P492">
        <f t="shared" si="47"/>
        <v>829.22949152542378</v>
      </c>
    </row>
    <row r="493" spans="1:16">
      <c r="A493" s="22" t="s">
        <v>554</v>
      </c>
      <c r="B493" s="22" t="s">
        <v>593</v>
      </c>
      <c r="C493" s="23">
        <v>2.38</v>
      </c>
      <c r="D493" s="22">
        <v>2000</v>
      </c>
      <c r="E493" s="22">
        <v>12.077</v>
      </c>
      <c r="F493" s="22">
        <v>1115</v>
      </c>
      <c r="G493" s="27">
        <v>66.599999999999994</v>
      </c>
      <c r="H493" s="24">
        <f t="shared" ref="H493:H501" si="53">(4/60*F493*D493*10^(-9))/(PI()*C493*E493*10^(-6))</f>
        <v>1.6463710012709143</v>
      </c>
      <c r="I493" s="25">
        <f t="shared" ref="I493:I501" si="54">(16 * F493 * (D493 * 10^-9 / 60)^2) / (PI()^2 * (C493 * 10^-3)^3 * (G493 * 10^-3))</f>
        <v>2.2369047662005761E-3</v>
      </c>
      <c r="J493" s="24">
        <f t="shared" ref="J493:J501" si="55">SQRT(I493)/H493</f>
        <v>2.8727381343137705E-2</v>
      </c>
      <c r="K493" s="14">
        <v>2.8</v>
      </c>
      <c r="L493" s="27">
        <v>9.57</v>
      </c>
      <c r="M493" s="27">
        <v>3.75</v>
      </c>
      <c r="N493" s="4">
        <f t="shared" si="51"/>
        <v>2.552</v>
      </c>
      <c r="O493" s="20">
        <f t="shared" si="52"/>
        <v>4.0210084033613445</v>
      </c>
      <c r="P493">
        <f t="shared" si="47"/>
        <v>2307.2212837837842</v>
      </c>
    </row>
    <row r="494" spans="1:16">
      <c r="A494" s="22" t="s">
        <v>555</v>
      </c>
      <c r="B494" s="22" t="s">
        <v>593</v>
      </c>
      <c r="C494" s="23">
        <v>2.38</v>
      </c>
      <c r="D494" s="22">
        <v>1750</v>
      </c>
      <c r="E494" s="22">
        <v>12.077</v>
      </c>
      <c r="F494" s="22">
        <v>1115</v>
      </c>
      <c r="G494" s="27">
        <v>66.599999999999994</v>
      </c>
      <c r="H494" s="24">
        <f t="shared" si="53"/>
        <v>1.44057462611205</v>
      </c>
      <c r="I494" s="25">
        <f t="shared" si="54"/>
        <v>1.7126302116223155E-3</v>
      </c>
      <c r="J494" s="24">
        <f t="shared" si="55"/>
        <v>2.8727381343137702E-2</v>
      </c>
      <c r="K494" s="14">
        <v>2.8</v>
      </c>
      <c r="L494" s="27">
        <v>9.6300000000000008</v>
      </c>
      <c r="M494" s="27">
        <v>3.76</v>
      </c>
      <c r="N494" s="4">
        <f t="shared" si="51"/>
        <v>2.5611702127659579</v>
      </c>
      <c r="O494" s="20">
        <f t="shared" si="52"/>
        <v>4.0462184873949587</v>
      </c>
      <c r="P494">
        <f t="shared" si="47"/>
        <v>2319.5428708708705</v>
      </c>
    </row>
    <row r="495" spans="1:16">
      <c r="A495" s="22" t="s">
        <v>556</v>
      </c>
      <c r="B495" s="22" t="s">
        <v>592</v>
      </c>
      <c r="C495" s="23">
        <v>2.38</v>
      </c>
      <c r="D495" s="22">
        <v>1500</v>
      </c>
      <c r="E495" s="22">
        <v>12.077</v>
      </c>
      <c r="F495" s="22">
        <v>1115</v>
      </c>
      <c r="G495" s="27">
        <v>66.599999999999994</v>
      </c>
      <c r="H495" s="24">
        <f t="shared" si="53"/>
        <v>1.2347782509531859</v>
      </c>
      <c r="I495" s="25">
        <f t="shared" si="54"/>
        <v>1.2582589309878237E-3</v>
      </c>
      <c r="J495" s="24">
        <f t="shared" si="55"/>
        <v>2.8727381343137699E-2</v>
      </c>
      <c r="K495" s="14">
        <v>2.8</v>
      </c>
      <c r="L495" s="27">
        <v>9.4499999999999993</v>
      </c>
      <c r="M495" s="27">
        <v>3.73</v>
      </c>
      <c r="N495" s="4">
        <f t="shared" si="51"/>
        <v>2.5335120643431632</v>
      </c>
      <c r="O495" s="20">
        <f t="shared" si="52"/>
        <v>3.9705882352941173</v>
      </c>
      <c r="P495">
        <f t="shared" si="47"/>
        <v>2282.6765510510513</v>
      </c>
    </row>
    <row r="496" spans="1:16">
      <c r="A496" s="22" t="s">
        <v>557</v>
      </c>
      <c r="B496" s="22" t="s">
        <v>592</v>
      </c>
      <c r="C496" s="23">
        <v>2.38</v>
      </c>
      <c r="D496" s="22">
        <v>1250</v>
      </c>
      <c r="E496" s="22">
        <v>12.077</v>
      </c>
      <c r="F496" s="22">
        <v>1115</v>
      </c>
      <c r="G496" s="27">
        <v>66.599999999999994</v>
      </c>
      <c r="H496" s="24">
        <f t="shared" si="53"/>
        <v>1.0289818757943214</v>
      </c>
      <c r="I496" s="25">
        <f t="shared" si="54"/>
        <v>8.7379092429709974E-4</v>
      </c>
      <c r="J496" s="24">
        <f t="shared" si="55"/>
        <v>2.8727381343137702E-2</v>
      </c>
      <c r="K496" s="14">
        <v>2.8</v>
      </c>
      <c r="L496" s="27">
        <v>9.44</v>
      </c>
      <c r="M496" s="27">
        <v>3.72</v>
      </c>
      <c r="N496" s="4">
        <f t="shared" si="51"/>
        <v>2.5376344086021501</v>
      </c>
      <c r="O496" s="20">
        <f t="shared" si="52"/>
        <v>3.9663865546218489</v>
      </c>
      <c r="P496">
        <f t="shared" si="47"/>
        <v>2270.4534054054056</v>
      </c>
    </row>
    <row r="497" spans="1:16">
      <c r="A497" s="22" t="s">
        <v>558</v>
      </c>
      <c r="B497" s="22" t="s">
        <v>592</v>
      </c>
      <c r="C497" s="23">
        <v>2.38</v>
      </c>
      <c r="D497" s="22">
        <v>1000</v>
      </c>
      <c r="E497" s="22">
        <v>12.077</v>
      </c>
      <c r="F497" s="22">
        <v>1115</v>
      </c>
      <c r="G497" s="27">
        <v>66.599999999999994</v>
      </c>
      <c r="H497" s="24">
        <f t="shared" si="53"/>
        <v>0.82318550063545715</v>
      </c>
      <c r="I497" s="25">
        <f t="shared" si="54"/>
        <v>5.5922619155014403E-4</v>
      </c>
      <c r="J497" s="24">
        <f t="shared" si="55"/>
        <v>2.8727381343137705E-2</v>
      </c>
      <c r="K497" s="14">
        <v>2.8</v>
      </c>
      <c r="L497" s="27">
        <v>9.2899999999999991</v>
      </c>
      <c r="M497" s="27">
        <v>3.72</v>
      </c>
      <c r="N497" s="4">
        <f t="shared" si="51"/>
        <v>2.497311827956989</v>
      </c>
      <c r="O497" s="20">
        <f t="shared" si="52"/>
        <v>3.903361344537815</v>
      </c>
      <c r="P497">
        <f t="shared" si="47"/>
        <v>2270.4534054054056</v>
      </c>
    </row>
    <row r="498" spans="1:16">
      <c r="A498" s="22" t="s">
        <v>559</v>
      </c>
      <c r="B498" s="22" t="s">
        <v>592</v>
      </c>
      <c r="C498" s="23">
        <v>2.38</v>
      </c>
      <c r="D498" s="22">
        <v>750</v>
      </c>
      <c r="E498" s="22">
        <v>12.077</v>
      </c>
      <c r="F498" s="22">
        <v>1115</v>
      </c>
      <c r="G498" s="27">
        <v>66.599999999999994</v>
      </c>
      <c r="H498" s="24">
        <f t="shared" si="53"/>
        <v>0.61738912547659297</v>
      </c>
      <c r="I498" s="25">
        <f t="shared" si="54"/>
        <v>3.1456473274695592E-4</v>
      </c>
      <c r="J498" s="24">
        <f t="shared" si="55"/>
        <v>2.8727381343137699E-2</v>
      </c>
      <c r="K498" s="14">
        <v>2.8</v>
      </c>
      <c r="L498" s="27">
        <v>9.36</v>
      </c>
      <c r="M498" s="27">
        <v>3.73</v>
      </c>
      <c r="N498" s="4">
        <f t="shared" si="51"/>
        <v>2.5093833780160857</v>
      </c>
      <c r="O498" s="20">
        <f t="shared" si="52"/>
        <v>3.9327731092436973</v>
      </c>
      <c r="P498">
        <f t="shared" si="47"/>
        <v>2282.6765510510513</v>
      </c>
    </row>
    <row r="499" spans="1:16">
      <c r="A499" s="22" t="s">
        <v>560</v>
      </c>
      <c r="B499" s="22" t="s">
        <v>592</v>
      </c>
      <c r="C499" s="23">
        <v>2.38</v>
      </c>
      <c r="D499" s="22">
        <v>500</v>
      </c>
      <c r="E499" s="22">
        <v>12.077</v>
      </c>
      <c r="F499" s="22">
        <v>1115</v>
      </c>
      <c r="G499" s="27">
        <v>66.599999999999994</v>
      </c>
      <c r="H499" s="24">
        <f t="shared" si="53"/>
        <v>0.41159275031772857</v>
      </c>
      <c r="I499" s="25">
        <f t="shared" si="54"/>
        <v>1.3980654788753601E-4</v>
      </c>
      <c r="J499" s="24">
        <f t="shared" si="55"/>
        <v>2.8727381343137705E-2</v>
      </c>
      <c r="K499" s="14">
        <v>2.8</v>
      </c>
      <c r="L499" s="27">
        <v>9.3699999999999992</v>
      </c>
      <c r="M499" s="27">
        <v>3.77</v>
      </c>
      <c r="N499" s="4">
        <f t="shared" si="51"/>
        <v>2.4854111405835542</v>
      </c>
      <c r="O499" s="20">
        <f t="shared" si="52"/>
        <v>3.9369747899159662</v>
      </c>
      <c r="P499">
        <f t="shared" si="47"/>
        <v>2331.8972717717725</v>
      </c>
    </row>
    <row r="500" spans="1:16">
      <c r="A500" s="22" t="s">
        <v>561</v>
      </c>
      <c r="B500" s="22" t="s">
        <v>592</v>
      </c>
      <c r="C500" s="23">
        <v>2.38</v>
      </c>
      <c r="D500" s="22">
        <v>250</v>
      </c>
      <c r="E500" s="22">
        <v>12.077</v>
      </c>
      <c r="F500" s="22">
        <v>1115</v>
      </c>
      <c r="G500" s="27">
        <v>66.599999999999994</v>
      </c>
      <c r="H500" s="24">
        <f t="shared" si="53"/>
        <v>0.20579637515886429</v>
      </c>
      <c r="I500" s="25">
        <f t="shared" si="54"/>
        <v>3.4951636971884002E-5</v>
      </c>
      <c r="J500" s="24">
        <f t="shared" si="55"/>
        <v>2.8727381343137705E-2</v>
      </c>
      <c r="K500" s="14">
        <v>2.8</v>
      </c>
      <c r="L500" s="27">
        <v>9.2200000000000006</v>
      </c>
      <c r="M500" s="27">
        <v>3.68</v>
      </c>
      <c r="N500" s="4">
        <f t="shared" si="51"/>
        <v>2.5054347826086958</v>
      </c>
      <c r="O500" s="20">
        <f t="shared" si="52"/>
        <v>3.8739495798319332</v>
      </c>
      <c r="P500">
        <f t="shared" si="47"/>
        <v>2221.8889609609614</v>
      </c>
    </row>
    <row r="501" spans="1:16">
      <c r="A501" s="22" t="s">
        <v>562</v>
      </c>
      <c r="B501" s="22" t="s">
        <v>592</v>
      </c>
      <c r="C501" s="23">
        <v>2.38</v>
      </c>
      <c r="D501" s="22">
        <v>100</v>
      </c>
      <c r="E501" s="22">
        <v>12.077</v>
      </c>
      <c r="F501" s="22">
        <v>1115</v>
      </c>
      <c r="G501" s="27">
        <v>66.599999999999994</v>
      </c>
      <c r="H501" s="24">
        <f t="shared" si="53"/>
        <v>8.2318550063545715E-2</v>
      </c>
      <c r="I501" s="25">
        <f t="shared" si="54"/>
        <v>5.5922619155014391E-6</v>
      </c>
      <c r="J501" s="24">
        <f t="shared" si="55"/>
        <v>2.8727381343137705E-2</v>
      </c>
      <c r="K501" s="14">
        <v>2.8</v>
      </c>
      <c r="L501" s="27">
        <v>9</v>
      </c>
      <c r="M501" s="27">
        <v>3.71</v>
      </c>
      <c r="N501" s="4">
        <f t="shared" si="51"/>
        <v>2.4258760107816713</v>
      </c>
      <c r="O501" s="20">
        <f t="shared" si="52"/>
        <v>3.7815126050420171</v>
      </c>
      <c r="P501">
        <f t="shared" si="47"/>
        <v>2258.2630735735734</v>
      </c>
    </row>
    <row r="502" spans="1:16">
      <c r="A502" s="22" t="s">
        <v>563</v>
      </c>
      <c r="B502" s="22" t="s">
        <v>592</v>
      </c>
      <c r="C502" s="23">
        <v>1.79</v>
      </c>
      <c r="D502" s="22">
        <v>2000</v>
      </c>
      <c r="E502" s="22">
        <v>12.077</v>
      </c>
      <c r="F502" s="22">
        <v>1115</v>
      </c>
      <c r="G502" s="27">
        <v>66.599999999999994</v>
      </c>
      <c r="H502" s="24">
        <f t="shared" ref="H502:H519" si="56">(4/60*F502*D502*10^(-9))/(PI()*C502*E502*10^(-6))</f>
        <v>2.1890295994551821</v>
      </c>
      <c r="I502" s="25">
        <f t="shared" ref="I502:I519" si="57">(16 * F502 * (D502 * 10^-9 / 60)^2) / (PI()^2 * (C502 * 10^-3)^3 * (G502 * 10^-3))</f>
        <v>5.2579841559925854E-3</v>
      </c>
      <c r="J502" s="24">
        <f t="shared" ref="J502:J519" si="58">SQRT(I502)/H502</f>
        <v>3.3125161362946728E-2</v>
      </c>
      <c r="K502" s="14">
        <v>2.4</v>
      </c>
      <c r="L502" s="27">
        <v>8.2200000000000006</v>
      </c>
      <c r="M502" s="27">
        <v>3.49</v>
      </c>
      <c r="N502" s="4">
        <f t="shared" si="51"/>
        <v>2.355300859598854</v>
      </c>
      <c r="O502" s="20">
        <f t="shared" si="52"/>
        <v>4.5921787709497206</v>
      </c>
      <c r="P502">
        <f t="shared" si="47"/>
        <v>1998.3776681681686</v>
      </c>
    </row>
    <row r="503" spans="1:16">
      <c r="A503" s="22" t="s">
        <v>564</v>
      </c>
      <c r="B503" s="22" t="s">
        <v>592</v>
      </c>
      <c r="C503" s="23">
        <v>1.79</v>
      </c>
      <c r="D503" s="22">
        <v>1750</v>
      </c>
      <c r="E503" s="22">
        <v>12.077</v>
      </c>
      <c r="F503" s="22">
        <v>1115</v>
      </c>
      <c r="G503" s="27">
        <v>66.599999999999994</v>
      </c>
      <c r="H503" s="24">
        <f t="shared" si="56"/>
        <v>1.9154008995232845</v>
      </c>
      <c r="I503" s="25">
        <f t="shared" si="57"/>
        <v>4.0256441194318222E-3</v>
      </c>
      <c r="J503" s="24">
        <f t="shared" si="58"/>
        <v>3.3125161362946721E-2</v>
      </c>
      <c r="K503" s="14">
        <v>2.4</v>
      </c>
      <c r="L503" s="27">
        <v>8.2799999999999994</v>
      </c>
      <c r="M503" s="27">
        <v>3.49</v>
      </c>
      <c r="N503" s="4">
        <f t="shared" si="51"/>
        <v>2.3724928366762175</v>
      </c>
      <c r="O503" s="20">
        <f t="shared" si="52"/>
        <v>4.6256983240223457</v>
      </c>
      <c r="P503">
        <f t="shared" si="47"/>
        <v>1998.3776681681686</v>
      </c>
    </row>
    <row r="504" spans="1:16">
      <c r="A504" s="22" t="s">
        <v>565</v>
      </c>
      <c r="B504" s="22" t="s">
        <v>592</v>
      </c>
      <c r="C504" s="23">
        <v>1.79</v>
      </c>
      <c r="D504" s="22">
        <v>1500</v>
      </c>
      <c r="E504" s="22">
        <v>12.077</v>
      </c>
      <c r="F504" s="22">
        <v>1115</v>
      </c>
      <c r="G504" s="27">
        <v>66.599999999999994</v>
      </c>
      <c r="H504" s="24">
        <f t="shared" si="56"/>
        <v>1.6417721995913868</v>
      </c>
      <c r="I504" s="25">
        <f t="shared" si="57"/>
        <v>2.9576160877458281E-3</v>
      </c>
      <c r="J504" s="24">
        <f t="shared" si="58"/>
        <v>3.3125161362946721E-2</v>
      </c>
      <c r="K504" s="14">
        <v>2.4</v>
      </c>
      <c r="L504" s="27">
        <v>8.0399999999999991</v>
      </c>
      <c r="M504" s="27">
        <v>3.52</v>
      </c>
      <c r="N504" s="4">
        <f t="shared" si="51"/>
        <v>2.2840909090909087</v>
      </c>
      <c r="O504" s="20">
        <f t="shared" si="52"/>
        <v>4.4916201117318426</v>
      </c>
      <c r="P504">
        <f t="shared" si="47"/>
        <v>2032.8813933933936</v>
      </c>
    </row>
    <row r="505" spans="1:16">
      <c r="A505" s="22" t="s">
        <v>566</v>
      </c>
      <c r="B505" s="22" t="s">
        <v>592</v>
      </c>
      <c r="C505" s="23">
        <v>1.79</v>
      </c>
      <c r="D505" s="22">
        <v>1250</v>
      </c>
      <c r="E505" s="22">
        <v>12.077</v>
      </c>
      <c r="F505" s="22">
        <v>1115</v>
      </c>
      <c r="G505" s="27">
        <v>66.599999999999994</v>
      </c>
      <c r="H505" s="24">
        <f t="shared" si="56"/>
        <v>1.3681434996594888</v>
      </c>
      <c r="I505" s="25">
        <f t="shared" si="57"/>
        <v>2.0539000609346028E-3</v>
      </c>
      <c r="J505" s="24">
        <f t="shared" si="58"/>
        <v>3.3125161362946721E-2</v>
      </c>
      <c r="K505" s="14">
        <v>2.4</v>
      </c>
      <c r="L505" s="27">
        <v>8.0500000000000007</v>
      </c>
      <c r="M505" s="27">
        <v>3.5</v>
      </c>
      <c r="N505" s="4">
        <f t="shared" si="51"/>
        <v>2.3000000000000003</v>
      </c>
      <c r="O505" s="20">
        <f t="shared" si="52"/>
        <v>4.4972067039106145</v>
      </c>
      <c r="P505">
        <f t="shared" si="47"/>
        <v>2009.8460960960963</v>
      </c>
    </row>
    <row r="506" spans="1:16">
      <c r="A506" s="22" t="s">
        <v>567</v>
      </c>
      <c r="B506" s="22" t="s">
        <v>592</v>
      </c>
      <c r="C506" s="23">
        <v>1.79</v>
      </c>
      <c r="D506" s="22">
        <v>1000</v>
      </c>
      <c r="E506" s="22">
        <v>12.077</v>
      </c>
      <c r="F506" s="22">
        <v>1115</v>
      </c>
      <c r="G506" s="27">
        <v>66.599999999999994</v>
      </c>
      <c r="H506" s="24">
        <f t="shared" si="56"/>
        <v>1.094514799727591</v>
      </c>
      <c r="I506" s="25">
        <f t="shared" si="57"/>
        <v>1.3144960389981464E-3</v>
      </c>
      <c r="J506" s="24">
        <f t="shared" si="58"/>
        <v>3.3125161362946728E-2</v>
      </c>
      <c r="K506" s="14">
        <v>2.4</v>
      </c>
      <c r="L506" s="27">
        <v>7.88</v>
      </c>
      <c r="M506" s="27">
        <v>3.53</v>
      </c>
      <c r="N506" s="4">
        <f t="shared" si="51"/>
        <v>2.2322946175637393</v>
      </c>
      <c r="O506" s="20">
        <f t="shared" si="52"/>
        <v>4.4022346368715084</v>
      </c>
      <c r="P506">
        <f t="shared" si="47"/>
        <v>2044.4482627627629</v>
      </c>
    </row>
    <row r="507" spans="1:16">
      <c r="A507" s="22" t="s">
        <v>568</v>
      </c>
      <c r="B507" s="22" t="s">
        <v>592</v>
      </c>
      <c r="C507" s="23">
        <v>1.79</v>
      </c>
      <c r="D507" s="22">
        <v>750</v>
      </c>
      <c r="E507" s="22">
        <v>12.077</v>
      </c>
      <c r="F507" s="22">
        <v>1115</v>
      </c>
      <c r="G507" s="27">
        <v>66.599999999999994</v>
      </c>
      <c r="H507" s="24">
        <f t="shared" si="56"/>
        <v>0.82088609979569338</v>
      </c>
      <c r="I507" s="25">
        <f t="shared" si="57"/>
        <v>7.3940402193645703E-4</v>
      </c>
      <c r="J507" s="24">
        <f t="shared" si="58"/>
        <v>3.3125161362946721E-2</v>
      </c>
      <c r="K507" s="14">
        <v>2.4</v>
      </c>
      <c r="L507" s="27">
        <v>7.86</v>
      </c>
      <c r="M507" s="27">
        <v>3.52</v>
      </c>
      <c r="N507" s="4">
        <f t="shared" si="51"/>
        <v>2.2329545454545454</v>
      </c>
      <c r="O507" s="20">
        <f t="shared" si="52"/>
        <v>4.3910614525139664</v>
      </c>
      <c r="P507">
        <f t="shared" si="47"/>
        <v>2032.8813933933936</v>
      </c>
    </row>
    <row r="508" spans="1:16">
      <c r="A508" s="22" t="s">
        <v>569</v>
      </c>
      <c r="B508" s="22" t="s">
        <v>592</v>
      </c>
      <c r="C508" s="23">
        <v>1.79</v>
      </c>
      <c r="D508" s="22">
        <v>500</v>
      </c>
      <c r="E508" s="22">
        <v>12.077</v>
      </c>
      <c r="F508" s="22">
        <v>1115</v>
      </c>
      <c r="G508" s="27">
        <v>66.599999999999994</v>
      </c>
      <c r="H508" s="24">
        <f t="shared" si="56"/>
        <v>0.54725739986379551</v>
      </c>
      <c r="I508" s="25">
        <f t="shared" si="57"/>
        <v>3.2862400974953659E-4</v>
      </c>
      <c r="J508" s="24">
        <f t="shared" si="58"/>
        <v>3.3125161362946728E-2</v>
      </c>
      <c r="K508" s="14">
        <v>2.4</v>
      </c>
      <c r="L508" s="27">
        <v>7.74</v>
      </c>
      <c r="M508" s="27">
        <v>3.48</v>
      </c>
      <c r="N508" s="4">
        <f t="shared" si="51"/>
        <v>2.2241379310344827</v>
      </c>
      <c r="O508" s="20">
        <f t="shared" si="52"/>
        <v>4.3240223463687153</v>
      </c>
      <c r="P508">
        <f t="shared" si="47"/>
        <v>1986.9420540540543</v>
      </c>
    </row>
    <row r="509" spans="1:16">
      <c r="A509" s="22" t="s">
        <v>570</v>
      </c>
      <c r="B509" s="22" t="s">
        <v>592</v>
      </c>
      <c r="C509" s="23">
        <v>1.79</v>
      </c>
      <c r="D509" s="22">
        <v>250</v>
      </c>
      <c r="E509" s="22">
        <v>12.077</v>
      </c>
      <c r="F509" s="22">
        <v>1115</v>
      </c>
      <c r="G509" s="27">
        <v>66.599999999999994</v>
      </c>
      <c r="H509" s="24">
        <f t="shared" si="56"/>
        <v>0.27362869993189776</v>
      </c>
      <c r="I509" s="25">
        <f t="shared" si="57"/>
        <v>8.2156002437384147E-5</v>
      </c>
      <c r="J509" s="24">
        <f t="shared" si="58"/>
        <v>3.3125161362946728E-2</v>
      </c>
      <c r="K509" s="14">
        <v>2.4</v>
      </c>
      <c r="L509" s="27">
        <v>7.72</v>
      </c>
      <c r="M509" s="27">
        <v>3.45</v>
      </c>
      <c r="N509" s="4">
        <f t="shared" si="51"/>
        <v>2.2376811594202897</v>
      </c>
      <c r="O509" s="20">
        <f t="shared" si="52"/>
        <v>4.3128491620111733</v>
      </c>
      <c r="P509">
        <f t="shared" si="47"/>
        <v>1952.8320945945948</v>
      </c>
    </row>
    <row r="510" spans="1:16">
      <c r="A510" s="22" t="s">
        <v>571</v>
      </c>
      <c r="B510" s="22" t="s">
        <v>592</v>
      </c>
      <c r="C510" s="23">
        <v>1.79</v>
      </c>
      <c r="D510" s="22">
        <v>100</v>
      </c>
      <c r="E510" s="22">
        <v>12.077</v>
      </c>
      <c r="F510" s="22">
        <v>1115</v>
      </c>
      <c r="G510" s="27">
        <v>66.599999999999994</v>
      </c>
      <c r="H510" s="24">
        <f t="shared" si="56"/>
        <v>0.10945147997275911</v>
      </c>
      <c r="I510" s="25">
        <f t="shared" si="57"/>
        <v>1.3144960389981459E-5</v>
      </c>
      <c r="J510" s="24">
        <f t="shared" si="58"/>
        <v>3.3125161362946721E-2</v>
      </c>
      <c r="K510" s="14">
        <v>2.4</v>
      </c>
      <c r="L510" s="27">
        <v>7.72</v>
      </c>
      <c r="M510" s="27">
        <v>3.51</v>
      </c>
      <c r="N510" s="4">
        <f t="shared" si="51"/>
        <v>2.1994301994301995</v>
      </c>
      <c r="O510" s="20">
        <f t="shared" si="52"/>
        <v>4.3128491620111733</v>
      </c>
      <c r="P510">
        <f t="shared" si="47"/>
        <v>2021.3473378378378</v>
      </c>
    </row>
    <row r="511" spans="1:16">
      <c r="A511" s="22" t="s">
        <v>572</v>
      </c>
      <c r="B511" s="22" t="s">
        <v>592</v>
      </c>
      <c r="C511" s="23">
        <v>1.37</v>
      </c>
      <c r="D511" s="22">
        <v>2000</v>
      </c>
      <c r="E511" s="22">
        <v>12.077</v>
      </c>
      <c r="F511" s="22">
        <v>1115</v>
      </c>
      <c r="G511" s="27">
        <v>66.599999999999994</v>
      </c>
      <c r="H511" s="24">
        <f t="shared" si="56"/>
        <v>2.8601189657115147</v>
      </c>
      <c r="I511" s="25">
        <f t="shared" si="57"/>
        <v>1.1727803063696954E-2</v>
      </c>
      <c r="J511" s="24">
        <f t="shared" si="58"/>
        <v>3.7863803222482055E-2</v>
      </c>
      <c r="K511" s="14">
        <v>1.8</v>
      </c>
      <c r="L511" s="27">
        <v>6.36</v>
      </c>
      <c r="M511" s="27">
        <v>3.32</v>
      </c>
      <c r="N511" s="4">
        <f t="shared" si="51"/>
        <v>1.9156626506024099</v>
      </c>
      <c r="O511" s="20">
        <f t="shared" si="52"/>
        <v>4.6423357664233578</v>
      </c>
      <c r="P511">
        <f t="shared" si="47"/>
        <v>1808.4349069069069</v>
      </c>
    </row>
    <row r="512" spans="1:16">
      <c r="A512" s="22" t="s">
        <v>573</v>
      </c>
      <c r="B512" s="22" t="s">
        <v>592</v>
      </c>
      <c r="C512" s="23">
        <v>1.37</v>
      </c>
      <c r="D512" s="22">
        <v>1750</v>
      </c>
      <c r="E512" s="22">
        <v>12.077</v>
      </c>
      <c r="F512" s="22">
        <v>1115</v>
      </c>
      <c r="G512" s="27">
        <v>66.599999999999994</v>
      </c>
      <c r="H512" s="24">
        <f t="shared" si="56"/>
        <v>2.5026040949975759</v>
      </c>
      <c r="I512" s="25">
        <f t="shared" si="57"/>
        <v>8.9790992206429786E-3</v>
      </c>
      <c r="J512" s="24">
        <f t="shared" si="58"/>
        <v>3.7863803222482041E-2</v>
      </c>
      <c r="K512" s="14">
        <v>1.8</v>
      </c>
      <c r="L512" s="27">
        <v>6.33</v>
      </c>
      <c r="M512" s="27">
        <v>3.31</v>
      </c>
      <c r="N512" s="4">
        <f t="shared" si="51"/>
        <v>1.9123867069486404</v>
      </c>
      <c r="O512" s="20">
        <f t="shared" si="52"/>
        <v>4.6204379562043796</v>
      </c>
      <c r="P512">
        <f t="shared" si="47"/>
        <v>1797.557127627628</v>
      </c>
    </row>
    <row r="513" spans="1:16">
      <c r="A513" s="22" t="s">
        <v>574</v>
      </c>
      <c r="B513" s="22" t="s">
        <v>592</v>
      </c>
      <c r="C513" s="23">
        <v>1.37</v>
      </c>
      <c r="D513" s="22">
        <v>1500</v>
      </c>
      <c r="E513" s="22">
        <v>12.077</v>
      </c>
      <c r="F513" s="22">
        <v>1115</v>
      </c>
      <c r="G513" s="27">
        <v>66.599999999999994</v>
      </c>
      <c r="H513" s="24">
        <f t="shared" si="56"/>
        <v>2.1450892242836366</v>
      </c>
      <c r="I513" s="25">
        <f t="shared" si="57"/>
        <v>6.5968892233295344E-3</v>
      </c>
      <c r="J513" s="24">
        <f t="shared" si="58"/>
        <v>3.7863803222482041E-2</v>
      </c>
      <c r="K513" s="14">
        <v>1.8</v>
      </c>
      <c r="L513" s="27">
        <v>6.25</v>
      </c>
      <c r="M513" s="27">
        <v>3.28</v>
      </c>
      <c r="N513" s="4">
        <f t="shared" si="51"/>
        <v>1.9054878048780488</v>
      </c>
      <c r="O513" s="20">
        <f t="shared" si="52"/>
        <v>4.5620437956204372</v>
      </c>
      <c r="P513">
        <f t="shared" si="47"/>
        <v>1765.1206726726725</v>
      </c>
    </row>
    <row r="514" spans="1:16">
      <c r="A514" s="26" t="s">
        <v>575</v>
      </c>
      <c r="B514" s="22" t="s">
        <v>592</v>
      </c>
      <c r="C514" s="23">
        <v>1.37</v>
      </c>
      <c r="D514" s="22">
        <v>1250</v>
      </c>
      <c r="E514" s="22">
        <v>12.077</v>
      </c>
      <c r="F514" s="22">
        <v>1115</v>
      </c>
      <c r="G514" s="27">
        <v>66.599999999999994</v>
      </c>
      <c r="H514" s="24">
        <f t="shared" si="56"/>
        <v>1.7875743535696966</v>
      </c>
      <c r="I514" s="25">
        <f t="shared" si="57"/>
        <v>4.5811730717566215E-3</v>
      </c>
      <c r="J514" s="24">
        <f t="shared" si="58"/>
        <v>3.7863803222482048E-2</v>
      </c>
      <c r="K514" s="14">
        <v>1.8</v>
      </c>
      <c r="L514" s="27">
        <v>6.25</v>
      </c>
      <c r="M514" s="27">
        <v>3.3</v>
      </c>
      <c r="N514" s="4">
        <f t="shared" si="51"/>
        <v>1.893939393939394</v>
      </c>
      <c r="O514" s="20">
        <f t="shared" si="52"/>
        <v>4.5620437956204372</v>
      </c>
      <c r="P514">
        <f t="shared" si="47"/>
        <v>1786.7121621621623</v>
      </c>
    </row>
    <row r="515" spans="1:16">
      <c r="A515" s="27" t="s">
        <v>576</v>
      </c>
      <c r="B515" s="22" t="s">
        <v>592</v>
      </c>
      <c r="C515" s="23">
        <v>1.37</v>
      </c>
      <c r="D515" s="22">
        <v>1000</v>
      </c>
      <c r="E515" s="22">
        <v>12.077</v>
      </c>
      <c r="F515" s="22">
        <v>1115</v>
      </c>
      <c r="G515" s="27">
        <v>66.599999999999994</v>
      </c>
      <c r="H515" s="24">
        <f t="shared" si="56"/>
        <v>1.4300594828557573</v>
      </c>
      <c r="I515" s="25">
        <f t="shared" si="57"/>
        <v>2.9319507659242385E-3</v>
      </c>
      <c r="J515" s="24">
        <f t="shared" si="58"/>
        <v>3.7863803222482055E-2</v>
      </c>
      <c r="K515" s="14">
        <v>1.8</v>
      </c>
      <c r="L515" s="27">
        <v>6.19</v>
      </c>
      <c r="M515" s="27">
        <v>3.29</v>
      </c>
      <c r="N515" s="4">
        <f t="shared" si="51"/>
        <v>1.8814589665653496</v>
      </c>
      <c r="O515" s="20">
        <f t="shared" si="52"/>
        <v>4.5182481751824817</v>
      </c>
      <c r="P515">
        <f t="shared" si="47"/>
        <v>1775.9000105105108</v>
      </c>
    </row>
    <row r="516" spans="1:16">
      <c r="A516" s="27" t="s">
        <v>577</v>
      </c>
      <c r="B516" s="22" t="s">
        <v>592</v>
      </c>
      <c r="C516" s="23">
        <v>1.37</v>
      </c>
      <c r="D516" s="22">
        <v>750</v>
      </c>
      <c r="E516" s="22">
        <v>12.077</v>
      </c>
      <c r="F516" s="22">
        <v>1115</v>
      </c>
      <c r="G516" s="27">
        <v>66.599999999999994</v>
      </c>
      <c r="H516" s="24">
        <f t="shared" si="56"/>
        <v>1.0725446121418183</v>
      </c>
      <c r="I516" s="25">
        <f t="shared" si="57"/>
        <v>1.6492223058323836E-3</v>
      </c>
      <c r="J516" s="24">
        <f t="shared" si="58"/>
        <v>3.7863803222482041E-2</v>
      </c>
      <c r="K516" s="14">
        <v>1.8</v>
      </c>
      <c r="L516" s="27">
        <v>6.2</v>
      </c>
      <c r="M516" s="27">
        <v>3.31</v>
      </c>
      <c r="N516" s="4">
        <f t="shared" si="51"/>
        <v>1.8731117824773413</v>
      </c>
      <c r="O516" s="20">
        <f t="shared" si="52"/>
        <v>4.5255474452554738</v>
      </c>
      <c r="P516">
        <f t="shared" ref="P516:P579" si="59">F516*M516*M516*9.8/G516</f>
        <v>1797.557127627628</v>
      </c>
    </row>
    <row r="517" spans="1:16">
      <c r="A517" s="27" t="s">
        <v>578</v>
      </c>
      <c r="B517" s="22" t="s">
        <v>592</v>
      </c>
      <c r="C517" s="23">
        <v>1.37</v>
      </c>
      <c r="D517" s="22">
        <v>500</v>
      </c>
      <c r="E517" s="22">
        <v>12.077</v>
      </c>
      <c r="F517" s="22">
        <v>1115</v>
      </c>
      <c r="G517" s="27">
        <v>66.599999999999994</v>
      </c>
      <c r="H517" s="24">
        <f t="shared" si="56"/>
        <v>0.71502974142787867</v>
      </c>
      <c r="I517" s="25">
        <f t="shared" si="57"/>
        <v>7.3298769148105963E-4</v>
      </c>
      <c r="J517" s="24">
        <f t="shared" si="58"/>
        <v>3.7863803222482055E-2</v>
      </c>
      <c r="K517" s="14">
        <v>1.8</v>
      </c>
      <c r="L517" s="27">
        <v>6.1</v>
      </c>
      <c r="M517" s="27">
        <v>3.3</v>
      </c>
      <c r="N517" s="4">
        <f t="shared" si="51"/>
        <v>1.8484848484848484</v>
      </c>
      <c r="O517" s="20">
        <f t="shared" si="52"/>
        <v>4.4525547445255471</v>
      </c>
      <c r="P517">
        <f t="shared" si="59"/>
        <v>1786.7121621621623</v>
      </c>
    </row>
    <row r="518" spans="1:16">
      <c r="A518" s="27" t="s">
        <v>579</v>
      </c>
      <c r="B518" s="22" t="s">
        <v>592</v>
      </c>
      <c r="C518" s="23">
        <v>1.37</v>
      </c>
      <c r="D518" s="22">
        <v>250</v>
      </c>
      <c r="E518" s="22">
        <v>12.077</v>
      </c>
      <c r="F518" s="22">
        <v>1115</v>
      </c>
      <c r="G518" s="27">
        <v>66.599999999999994</v>
      </c>
      <c r="H518" s="24">
        <f t="shared" si="56"/>
        <v>0.35751487071393934</v>
      </c>
      <c r="I518" s="25">
        <f t="shared" si="57"/>
        <v>1.8324692287026491E-4</v>
      </c>
      <c r="J518" s="24">
        <f t="shared" si="58"/>
        <v>3.7863803222482055E-2</v>
      </c>
      <c r="K518" s="14">
        <v>1.8</v>
      </c>
      <c r="L518" s="27">
        <v>6.13</v>
      </c>
      <c r="M518" s="27">
        <v>3.28</v>
      </c>
      <c r="N518" s="4">
        <f t="shared" si="51"/>
        <v>1.8689024390243902</v>
      </c>
      <c r="O518" s="20">
        <f t="shared" si="52"/>
        <v>4.4744525547445253</v>
      </c>
      <c r="P518">
        <f t="shared" si="59"/>
        <v>1765.1206726726725</v>
      </c>
    </row>
    <row r="519" spans="1:16">
      <c r="A519" s="27" t="s">
        <v>580</v>
      </c>
      <c r="B519" s="22" t="s">
        <v>592</v>
      </c>
      <c r="C519" s="23">
        <v>1.37</v>
      </c>
      <c r="D519" s="22">
        <v>100</v>
      </c>
      <c r="E519" s="22">
        <v>12.077</v>
      </c>
      <c r="F519" s="22">
        <v>1115</v>
      </c>
      <c r="G519" s="27">
        <v>66.599999999999994</v>
      </c>
      <c r="H519" s="24">
        <f t="shared" si="56"/>
        <v>0.14300594828557575</v>
      </c>
      <c r="I519" s="25">
        <f t="shared" si="57"/>
        <v>2.931950765924238E-5</v>
      </c>
      <c r="J519" s="24">
        <f t="shared" si="58"/>
        <v>3.7863803222482041E-2</v>
      </c>
      <c r="K519" s="14">
        <v>1.8</v>
      </c>
      <c r="L519" s="27">
        <v>6.03</v>
      </c>
      <c r="M519" s="27">
        <v>3.26</v>
      </c>
      <c r="N519" s="4">
        <f t="shared" si="51"/>
        <v>1.8496932515337425</v>
      </c>
      <c r="O519" s="20">
        <f t="shared" si="52"/>
        <v>4.4014598540145986</v>
      </c>
      <c r="P519">
        <f t="shared" si="59"/>
        <v>1743.6604384384384</v>
      </c>
    </row>
    <row r="520" spans="1:16">
      <c r="A520" s="27" t="s">
        <v>581</v>
      </c>
      <c r="B520" s="22" t="s">
        <v>592</v>
      </c>
      <c r="C520" s="28">
        <v>0.83</v>
      </c>
      <c r="D520" s="22">
        <v>2000</v>
      </c>
      <c r="E520" s="22">
        <v>12.077</v>
      </c>
      <c r="F520" s="22">
        <v>1115</v>
      </c>
      <c r="G520" s="27">
        <v>66.599999999999994</v>
      </c>
      <c r="H520" s="24">
        <f t="shared" ref="H520:H527" si="60">(4/60*F520*D520*10^(-9))/(PI()*C520*E520*10^(-6))</f>
        <v>4.720919256656356</v>
      </c>
      <c r="I520" s="25">
        <f t="shared" ref="I520:I527" si="61">(16 * F520 * (D520 * 10^-9 / 60)^2) / (PI()^2 * (C520 * 10^-3)^3 * (G520 * 10^-3))</f>
        <v>5.2740481317774562E-2</v>
      </c>
      <c r="J520" s="24">
        <f t="shared" ref="J520:J527" si="62">SQRT(I520)/H520</f>
        <v>4.8645813653944388E-2</v>
      </c>
      <c r="K520" s="14">
        <v>1.27</v>
      </c>
      <c r="L520" s="27">
        <v>4.7699999999999996</v>
      </c>
      <c r="M520" s="27">
        <v>3.03</v>
      </c>
      <c r="N520" s="4">
        <f t="shared" si="51"/>
        <v>1.5742574257425743</v>
      </c>
      <c r="O520" s="20">
        <f t="shared" si="52"/>
        <v>5.7469879518072284</v>
      </c>
      <c r="P520">
        <f t="shared" si="59"/>
        <v>1506.3017162162164</v>
      </c>
    </row>
    <row r="521" spans="1:16">
      <c r="A521" s="27" t="s">
        <v>582</v>
      </c>
      <c r="B521" s="22" t="s">
        <v>592</v>
      </c>
      <c r="C521" s="28">
        <v>0.83</v>
      </c>
      <c r="D521" s="22">
        <v>1750</v>
      </c>
      <c r="E521" s="22">
        <v>12.077</v>
      </c>
      <c r="F521" s="22">
        <v>1115</v>
      </c>
      <c r="G521" s="27">
        <v>66.599999999999994</v>
      </c>
      <c r="H521" s="24">
        <f t="shared" si="60"/>
        <v>4.1308043495743121</v>
      </c>
      <c r="I521" s="25">
        <f t="shared" si="61"/>
        <v>4.0379431008921142E-2</v>
      </c>
      <c r="J521" s="24">
        <f t="shared" si="62"/>
        <v>4.8645813653944374E-2</v>
      </c>
      <c r="K521" s="14">
        <v>1.27</v>
      </c>
      <c r="L521" s="27">
        <v>4.9000000000000004</v>
      </c>
      <c r="M521" s="27">
        <v>3.1</v>
      </c>
      <c r="N521" s="4">
        <f t="shared" si="51"/>
        <v>1.5806451612903227</v>
      </c>
      <c r="O521" s="20">
        <f t="shared" si="52"/>
        <v>5.9036144578313259</v>
      </c>
      <c r="P521">
        <f t="shared" si="59"/>
        <v>1576.703753753754</v>
      </c>
    </row>
    <row r="522" spans="1:16">
      <c r="A522" s="27" t="s">
        <v>583</v>
      </c>
      <c r="B522" s="22" t="s">
        <v>592</v>
      </c>
      <c r="C522" s="28">
        <v>0.83</v>
      </c>
      <c r="D522" s="22">
        <v>1500</v>
      </c>
      <c r="E522" s="22">
        <v>12.077</v>
      </c>
      <c r="F522" s="22">
        <v>1115</v>
      </c>
      <c r="G522" s="27">
        <v>66.599999999999994</v>
      </c>
      <c r="H522" s="24">
        <f t="shared" si="60"/>
        <v>3.5406894424922677</v>
      </c>
      <c r="I522" s="25">
        <f t="shared" si="61"/>
        <v>2.9666520741248183E-2</v>
      </c>
      <c r="J522" s="24">
        <f t="shared" si="62"/>
        <v>4.8645813653944367E-2</v>
      </c>
      <c r="K522" s="14">
        <v>1.27</v>
      </c>
      <c r="L522" s="27">
        <v>4.8600000000000003</v>
      </c>
      <c r="M522" s="27">
        <v>3.1</v>
      </c>
      <c r="N522" s="4">
        <f t="shared" si="51"/>
        <v>1.5677419354838711</v>
      </c>
      <c r="O522" s="20">
        <f t="shared" si="52"/>
        <v>5.8554216867469888</v>
      </c>
      <c r="P522">
        <f t="shared" si="59"/>
        <v>1576.703753753754</v>
      </c>
    </row>
    <row r="523" spans="1:16">
      <c r="A523" s="27" t="s">
        <v>584</v>
      </c>
      <c r="B523" s="22" t="s">
        <v>592</v>
      </c>
      <c r="C523" s="28">
        <v>0.83</v>
      </c>
      <c r="D523" s="22">
        <v>1250</v>
      </c>
      <c r="E523" s="22">
        <v>12.077</v>
      </c>
      <c r="F523" s="22">
        <v>1115</v>
      </c>
      <c r="G523" s="27">
        <v>66.599999999999994</v>
      </c>
      <c r="H523" s="24">
        <f t="shared" si="60"/>
        <v>2.9505745354102224</v>
      </c>
      <c r="I523" s="25">
        <f t="shared" si="61"/>
        <v>2.0601750514755681E-2</v>
      </c>
      <c r="J523" s="24">
        <f t="shared" si="62"/>
        <v>4.8645813653944381E-2</v>
      </c>
      <c r="K523" s="14">
        <v>1.27</v>
      </c>
      <c r="L523" s="27">
        <v>4.87</v>
      </c>
      <c r="M523" s="27">
        <v>3.04</v>
      </c>
      <c r="N523" s="4">
        <f t="shared" si="51"/>
        <v>1.6019736842105263</v>
      </c>
      <c r="O523" s="20">
        <f t="shared" si="52"/>
        <v>5.8674698795180724</v>
      </c>
      <c r="P523">
        <f t="shared" si="59"/>
        <v>1516.260708708709</v>
      </c>
    </row>
    <row r="524" spans="1:16">
      <c r="A524" s="27" t="s">
        <v>585</v>
      </c>
      <c r="B524" s="22" t="s">
        <v>592</v>
      </c>
      <c r="C524" s="28">
        <v>0.83</v>
      </c>
      <c r="D524" s="22">
        <v>1000</v>
      </c>
      <c r="E524" s="22">
        <v>12.077</v>
      </c>
      <c r="F524" s="22">
        <v>1115</v>
      </c>
      <c r="G524" s="27">
        <v>66.599999999999994</v>
      </c>
      <c r="H524" s="24">
        <f t="shared" si="60"/>
        <v>2.360459628328178</v>
      </c>
      <c r="I524" s="25">
        <f t="shared" si="61"/>
        <v>1.3185120329443641E-2</v>
      </c>
      <c r="J524" s="24">
        <f t="shared" si="62"/>
        <v>4.8645813653944388E-2</v>
      </c>
      <c r="K524" s="14">
        <v>1.27</v>
      </c>
      <c r="L524" s="27">
        <v>4.84</v>
      </c>
      <c r="M524" s="27">
        <v>3.08</v>
      </c>
      <c r="N524" s="4">
        <f t="shared" si="51"/>
        <v>1.5714285714285714</v>
      </c>
      <c r="O524" s="20">
        <f t="shared" si="52"/>
        <v>5.831325301204819</v>
      </c>
      <c r="P524">
        <f t="shared" si="59"/>
        <v>1556.4248168168172</v>
      </c>
    </row>
    <row r="525" spans="1:16">
      <c r="A525" s="27" t="s">
        <v>586</v>
      </c>
      <c r="B525" s="22" t="s">
        <v>592</v>
      </c>
      <c r="C525" s="28">
        <v>0.83</v>
      </c>
      <c r="D525" s="22">
        <v>750</v>
      </c>
      <c r="E525" s="22">
        <v>12.077</v>
      </c>
      <c r="F525" s="22">
        <v>1115</v>
      </c>
      <c r="G525" s="27">
        <v>66.599999999999994</v>
      </c>
      <c r="H525" s="24">
        <f t="shared" si="60"/>
        <v>1.7703447212461338</v>
      </c>
      <c r="I525" s="25">
        <f t="shared" si="61"/>
        <v>7.4166301853120457E-3</v>
      </c>
      <c r="J525" s="24">
        <f t="shared" si="62"/>
        <v>4.8645813653944367E-2</v>
      </c>
      <c r="K525" s="14">
        <v>1.27</v>
      </c>
      <c r="L525" s="27">
        <v>4.79</v>
      </c>
      <c r="M525" s="27">
        <v>3.07</v>
      </c>
      <c r="N525" s="4">
        <f t="shared" si="51"/>
        <v>1.5602605863192183</v>
      </c>
      <c r="O525" s="20">
        <f t="shared" si="52"/>
        <v>5.7710843373493983</v>
      </c>
      <c r="P525">
        <f t="shared" si="59"/>
        <v>1546.3345690690692</v>
      </c>
    </row>
    <row r="526" spans="1:16">
      <c r="A526" s="27" t="s">
        <v>587</v>
      </c>
      <c r="B526" s="22" t="s">
        <v>592</v>
      </c>
      <c r="C526" s="28">
        <v>0.83</v>
      </c>
      <c r="D526" s="22">
        <v>500</v>
      </c>
      <c r="E526" s="22">
        <v>12.077</v>
      </c>
      <c r="F526" s="22">
        <v>1115</v>
      </c>
      <c r="G526" s="27">
        <v>66.599999999999994</v>
      </c>
      <c r="H526" s="24">
        <f t="shared" si="60"/>
        <v>1.180229814164089</v>
      </c>
      <c r="I526" s="25">
        <f t="shared" si="61"/>
        <v>3.2962800823609101E-3</v>
      </c>
      <c r="J526" s="24">
        <f t="shared" si="62"/>
        <v>4.8645813653944388E-2</v>
      </c>
      <c r="K526" s="14">
        <v>1.27</v>
      </c>
      <c r="L526" s="27">
        <v>4.66</v>
      </c>
      <c r="M526" s="27">
        <v>2.98</v>
      </c>
      <c r="N526" s="4">
        <f t="shared" si="51"/>
        <v>1.563758389261745</v>
      </c>
      <c r="O526" s="20">
        <f t="shared" si="52"/>
        <v>5.6144578313253017</v>
      </c>
      <c r="P526">
        <f t="shared" si="59"/>
        <v>1456.9989609609611</v>
      </c>
    </row>
    <row r="527" spans="1:16">
      <c r="A527" s="27" t="s">
        <v>588</v>
      </c>
      <c r="B527" s="22" t="s">
        <v>592</v>
      </c>
      <c r="C527" s="28">
        <v>0.83</v>
      </c>
      <c r="D527" s="22">
        <v>250</v>
      </c>
      <c r="E527" s="22">
        <v>12.077</v>
      </c>
      <c r="F527" s="22">
        <v>1115</v>
      </c>
      <c r="G527" s="27">
        <v>66.599999999999994</v>
      </c>
      <c r="H527" s="24">
        <f t="shared" si="60"/>
        <v>0.5901149070820445</v>
      </c>
      <c r="I527" s="25">
        <f t="shared" si="61"/>
        <v>8.2407002059022754E-4</v>
      </c>
      <c r="J527" s="24">
        <f t="shared" si="62"/>
        <v>4.8645813653944388E-2</v>
      </c>
      <c r="K527" s="14">
        <v>1.27</v>
      </c>
      <c r="L527" s="27">
        <v>4.71</v>
      </c>
      <c r="M527" s="27">
        <v>3</v>
      </c>
      <c r="N527" s="4">
        <f t="shared" si="51"/>
        <v>1.57</v>
      </c>
      <c r="O527" s="20">
        <f t="shared" si="52"/>
        <v>5.6746987951807233</v>
      </c>
      <c r="P527">
        <f t="shared" si="59"/>
        <v>1476.6216216216217</v>
      </c>
    </row>
    <row r="528" spans="1:16">
      <c r="A528" s="27" t="s">
        <v>589</v>
      </c>
      <c r="B528" s="22" t="s">
        <v>592</v>
      </c>
      <c r="C528" s="28">
        <v>0.83</v>
      </c>
      <c r="D528" s="22">
        <v>100</v>
      </c>
      <c r="E528" s="22">
        <v>12.077</v>
      </c>
      <c r="F528" s="22">
        <v>1115</v>
      </c>
      <c r="G528" s="27">
        <v>66.599999999999994</v>
      </c>
      <c r="H528" s="24">
        <f t="shared" ref="H528:H591" si="63">(4/60*F528*D528*10^(-9))/(PI()*C528*E528*10^(-6))</f>
        <v>0.23604596283281784</v>
      </c>
      <c r="I528" s="25">
        <f t="shared" ref="I528:I548" si="64">(16 * F528 * (D528 * 10^-9 / 60)^2) / (PI()^2 * (C528 * 10^-3)^3 * (G528 * 10^-3))</f>
        <v>1.3185120329443637E-4</v>
      </c>
      <c r="J528" s="24">
        <f t="shared" ref="J528:J548" si="65">SQRT(I528)/H528</f>
        <v>4.8645813653944374E-2</v>
      </c>
      <c r="K528" s="14">
        <v>1.27</v>
      </c>
      <c r="L528" s="27">
        <v>4.76</v>
      </c>
      <c r="M528" s="27">
        <v>3.02</v>
      </c>
      <c r="N528" s="4">
        <f t="shared" si="51"/>
        <v>1.5761589403973508</v>
      </c>
      <c r="O528" s="20">
        <f t="shared" si="52"/>
        <v>5.7349397590361448</v>
      </c>
      <c r="P528">
        <f t="shared" si="59"/>
        <v>1496.3755375375381</v>
      </c>
    </row>
    <row r="529" spans="1:16">
      <c r="A529" s="27" t="s">
        <v>590</v>
      </c>
      <c r="B529" s="22" t="s">
        <v>592</v>
      </c>
      <c r="C529" s="28">
        <v>0.25</v>
      </c>
      <c r="D529" s="22">
        <v>2000</v>
      </c>
      <c r="E529" s="22">
        <v>12.077</v>
      </c>
      <c r="F529" s="22">
        <v>1115</v>
      </c>
      <c r="G529" s="27">
        <v>66.599999999999994</v>
      </c>
      <c r="H529" s="24">
        <f t="shared" si="63"/>
        <v>15.673451932099102</v>
      </c>
      <c r="I529" s="25">
        <f t="shared" si="64"/>
        <v>1.9300045818397671</v>
      </c>
      <c r="J529" s="24">
        <f t="shared" si="65"/>
        <v>8.8636890839538227E-2</v>
      </c>
      <c r="K529" s="14">
        <v>0.51</v>
      </c>
      <c r="L529" s="27">
        <v>2.97</v>
      </c>
      <c r="M529" s="27">
        <v>2.41</v>
      </c>
      <c r="N529" s="4">
        <f t="shared" si="51"/>
        <v>1.2323651452282158</v>
      </c>
      <c r="O529" s="20">
        <f t="shared" si="52"/>
        <v>11.88</v>
      </c>
      <c r="P529">
        <f t="shared" si="59"/>
        <v>952.92956006006034</v>
      </c>
    </row>
    <row r="530" spans="1:16">
      <c r="A530" s="27" t="s">
        <v>594</v>
      </c>
      <c r="B530" s="22" t="s">
        <v>592</v>
      </c>
      <c r="C530" s="28">
        <v>0.25</v>
      </c>
      <c r="D530" s="22">
        <v>1750</v>
      </c>
      <c r="E530" s="22">
        <v>12.077</v>
      </c>
      <c r="F530" s="22">
        <v>1115</v>
      </c>
      <c r="G530" s="27">
        <v>66.599999999999994</v>
      </c>
      <c r="H530" s="24">
        <f t="shared" si="63"/>
        <v>13.714270440586716</v>
      </c>
      <c r="I530" s="25">
        <f t="shared" si="64"/>
        <v>1.4776597579710713</v>
      </c>
      <c r="J530" s="24">
        <f t="shared" si="65"/>
        <v>8.8636890839538199E-2</v>
      </c>
      <c r="K530" s="14">
        <v>0.51</v>
      </c>
      <c r="L530" s="27">
        <v>2.9</v>
      </c>
      <c r="M530" s="27">
        <v>2.37</v>
      </c>
      <c r="N530" s="4">
        <f t="shared" si="51"/>
        <v>1.2236286919831223</v>
      </c>
      <c r="O530" s="20">
        <f t="shared" si="52"/>
        <v>11.6</v>
      </c>
      <c r="P530">
        <f t="shared" si="59"/>
        <v>921.55955405405439</v>
      </c>
    </row>
    <row r="531" spans="1:16">
      <c r="A531" s="27" t="s">
        <v>595</v>
      </c>
      <c r="B531" s="22" t="s">
        <v>592</v>
      </c>
      <c r="C531" s="28">
        <v>0.25</v>
      </c>
      <c r="D531" s="22">
        <v>1500</v>
      </c>
      <c r="E531" s="22">
        <v>12.077</v>
      </c>
      <c r="F531" s="22">
        <v>1115</v>
      </c>
      <c r="G531" s="27">
        <v>66.599999999999994</v>
      </c>
      <c r="H531" s="24">
        <f t="shared" si="63"/>
        <v>11.755088949074329</v>
      </c>
      <c r="I531" s="25">
        <f t="shared" si="64"/>
        <v>1.0856275772848687</v>
      </c>
      <c r="J531" s="24">
        <f t="shared" si="65"/>
        <v>8.8636890839538199E-2</v>
      </c>
      <c r="K531" s="14">
        <v>0.51</v>
      </c>
      <c r="L531" s="27">
        <v>2.95</v>
      </c>
      <c r="M531" s="27">
        <v>2.41</v>
      </c>
      <c r="N531" s="4">
        <f t="shared" si="51"/>
        <v>1.2240663900414939</v>
      </c>
      <c r="O531" s="20">
        <f t="shared" si="52"/>
        <v>11.8</v>
      </c>
      <c r="P531">
        <f t="shared" si="59"/>
        <v>952.92956006006034</v>
      </c>
    </row>
    <row r="532" spans="1:16">
      <c r="A532" s="27" t="s">
        <v>596</v>
      </c>
      <c r="B532" s="22" t="s">
        <v>592</v>
      </c>
      <c r="C532" s="28">
        <v>0.25</v>
      </c>
      <c r="D532" s="22">
        <v>1250</v>
      </c>
      <c r="E532" s="22">
        <v>12.077</v>
      </c>
      <c r="F532" s="22">
        <v>1115</v>
      </c>
      <c r="G532" s="27">
        <v>66.599999999999994</v>
      </c>
      <c r="H532" s="24">
        <f t="shared" si="63"/>
        <v>9.7959074575619383</v>
      </c>
      <c r="I532" s="25">
        <f t="shared" si="64"/>
        <v>0.75390803978115883</v>
      </c>
      <c r="J532" s="24">
        <f t="shared" si="65"/>
        <v>8.8636890839538227E-2</v>
      </c>
      <c r="K532" s="14">
        <v>0.51</v>
      </c>
      <c r="L532" s="27">
        <v>2.92</v>
      </c>
      <c r="M532" s="27">
        <v>2.36</v>
      </c>
      <c r="N532" s="4">
        <f t="shared" si="51"/>
        <v>1.2372881355932204</v>
      </c>
      <c r="O532" s="20">
        <f t="shared" si="52"/>
        <v>11.68</v>
      </c>
      <c r="P532">
        <f t="shared" si="59"/>
        <v>913.79908708708695</v>
      </c>
    </row>
    <row r="533" spans="1:16">
      <c r="A533" s="27" t="s">
        <v>597</v>
      </c>
      <c r="B533" s="22" t="s">
        <v>592</v>
      </c>
      <c r="C533" s="28">
        <v>0.25</v>
      </c>
      <c r="D533" s="22">
        <v>1000</v>
      </c>
      <c r="E533" s="22">
        <v>12.077</v>
      </c>
      <c r="F533" s="22">
        <v>1115</v>
      </c>
      <c r="G533" s="27">
        <v>66.599999999999994</v>
      </c>
      <c r="H533" s="24">
        <f t="shared" si="63"/>
        <v>7.836725966049551</v>
      </c>
      <c r="I533" s="25">
        <f t="shared" si="64"/>
        <v>0.48250114545994177</v>
      </c>
      <c r="J533" s="24">
        <f t="shared" si="65"/>
        <v>8.8636890839538227E-2</v>
      </c>
      <c r="K533" s="14">
        <v>0.51</v>
      </c>
      <c r="L533" s="27">
        <v>2.93</v>
      </c>
      <c r="M533" s="27">
        <v>2.36</v>
      </c>
      <c r="N533" s="4">
        <f t="shared" si="51"/>
        <v>1.2415254237288136</v>
      </c>
      <c r="O533" s="20">
        <f t="shared" si="52"/>
        <v>11.72</v>
      </c>
      <c r="P533">
        <f t="shared" si="59"/>
        <v>913.79908708708695</v>
      </c>
    </row>
    <row r="534" spans="1:16">
      <c r="A534" s="27" t="s">
        <v>598</v>
      </c>
      <c r="B534" s="22" t="s">
        <v>592</v>
      </c>
      <c r="C534" s="28">
        <v>0.25</v>
      </c>
      <c r="D534" s="22">
        <v>750</v>
      </c>
      <c r="E534" s="22">
        <v>12.077</v>
      </c>
      <c r="F534" s="22">
        <v>1115</v>
      </c>
      <c r="G534" s="27">
        <v>66.599999999999994</v>
      </c>
      <c r="H534" s="24">
        <f t="shared" si="63"/>
        <v>5.8775444745371646</v>
      </c>
      <c r="I534" s="25">
        <f t="shared" si="64"/>
        <v>0.27140689432121717</v>
      </c>
      <c r="J534" s="24">
        <f t="shared" si="65"/>
        <v>8.8636890839538199E-2</v>
      </c>
      <c r="K534" s="14">
        <v>0.51</v>
      </c>
      <c r="L534" s="27">
        <v>2.85</v>
      </c>
      <c r="M534" s="27">
        <v>2.31</v>
      </c>
      <c r="N534" s="4">
        <f t="shared" si="51"/>
        <v>1.2337662337662338</v>
      </c>
      <c r="O534" s="20">
        <f t="shared" si="52"/>
        <v>11.4</v>
      </c>
      <c r="P534">
        <f t="shared" si="59"/>
        <v>875.48895945945969</v>
      </c>
    </row>
    <row r="535" spans="1:16">
      <c r="A535" s="27" t="s">
        <v>599</v>
      </c>
      <c r="B535" s="22" t="s">
        <v>592</v>
      </c>
      <c r="C535" s="28">
        <v>0.25</v>
      </c>
      <c r="D535" s="22">
        <v>500</v>
      </c>
      <c r="E535" s="22">
        <v>12.077</v>
      </c>
      <c r="F535" s="22">
        <v>1115</v>
      </c>
      <c r="G535" s="27">
        <v>66.599999999999994</v>
      </c>
      <c r="H535" s="24">
        <f t="shared" si="63"/>
        <v>3.9183629830247755</v>
      </c>
      <c r="I535" s="25">
        <f t="shared" si="64"/>
        <v>0.12062528636498544</v>
      </c>
      <c r="J535" s="24">
        <f t="shared" si="65"/>
        <v>8.8636890839538227E-2</v>
      </c>
      <c r="K535" s="14">
        <v>0.51</v>
      </c>
      <c r="L535" s="27">
        <v>2.92</v>
      </c>
      <c r="M535" s="27">
        <v>2.35</v>
      </c>
      <c r="N535" s="4">
        <f t="shared" si="51"/>
        <v>1.2425531914893617</v>
      </c>
      <c r="O535" s="20">
        <f t="shared" si="52"/>
        <v>11.68</v>
      </c>
      <c r="P535">
        <f t="shared" si="59"/>
        <v>906.07143393393426</v>
      </c>
    </row>
    <row r="536" spans="1:16">
      <c r="A536" s="27" t="s">
        <v>600</v>
      </c>
      <c r="B536" s="22" t="s">
        <v>592</v>
      </c>
      <c r="C536" s="28">
        <v>0.25</v>
      </c>
      <c r="D536" s="22">
        <v>250</v>
      </c>
      <c r="E536" s="22">
        <v>12.077</v>
      </c>
      <c r="F536" s="22">
        <v>1115</v>
      </c>
      <c r="G536" s="27">
        <v>66.599999999999994</v>
      </c>
      <c r="H536" s="24">
        <f t="shared" si="63"/>
        <v>1.9591814915123877</v>
      </c>
      <c r="I536" s="25">
        <f t="shared" si="64"/>
        <v>3.0156321591246361E-2</v>
      </c>
      <c r="J536" s="24">
        <f t="shared" si="65"/>
        <v>8.8636890839538227E-2</v>
      </c>
      <c r="K536" s="14">
        <v>0.51</v>
      </c>
      <c r="L536" s="27">
        <v>2.88</v>
      </c>
      <c r="M536" s="27">
        <v>2.35</v>
      </c>
      <c r="N536" s="4">
        <f t="shared" si="51"/>
        <v>1.225531914893617</v>
      </c>
      <c r="O536" s="20">
        <f t="shared" si="52"/>
        <v>11.52</v>
      </c>
      <c r="P536">
        <f t="shared" si="59"/>
        <v>906.07143393393426</v>
      </c>
    </row>
    <row r="537" spans="1:16">
      <c r="A537" s="27" t="s">
        <v>601</v>
      </c>
      <c r="B537" s="22" t="s">
        <v>592</v>
      </c>
      <c r="C537" s="28">
        <v>0.25</v>
      </c>
      <c r="D537" s="22">
        <v>100</v>
      </c>
      <c r="E537" s="22">
        <v>12.077</v>
      </c>
      <c r="F537" s="22">
        <v>1115</v>
      </c>
      <c r="G537" s="27">
        <v>66.599999999999994</v>
      </c>
      <c r="H537" s="24">
        <f t="shared" si="63"/>
        <v>0.78367259660495525</v>
      </c>
      <c r="I537" s="25">
        <f t="shared" si="64"/>
        <v>4.8250114545994168E-3</v>
      </c>
      <c r="J537" s="24">
        <f t="shared" si="65"/>
        <v>8.8636890839538199E-2</v>
      </c>
      <c r="K537" s="14">
        <v>0.51</v>
      </c>
      <c r="L537" s="27">
        <v>2.89</v>
      </c>
      <c r="M537" s="27">
        <v>2.35</v>
      </c>
      <c r="N537" s="4">
        <f t="shared" si="51"/>
        <v>1.2297872340425533</v>
      </c>
      <c r="O537" s="20">
        <f t="shared" si="52"/>
        <v>11.56</v>
      </c>
      <c r="P537">
        <f t="shared" si="59"/>
        <v>906.07143393393426</v>
      </c>
    </row>
    <row r="538" spans="1:16">
      <c r="A538" s="27" t="s">
        <v>602</v>
      </c>
      <c r="B538" s="22" t="s">
        <v>592</v>
      </c>
      <c r="C538" s="28">
        <v>0.1</v>
      </c>
      <c r="D538" s="22">
        <v>2000</v>
      </c>
      <c r="E538" s="22">
        <v>12.077</v>
      </c>
      <c r="F538" s="22">
        <v>1115</v>
      </c>
      <c r="G538" s="27">
        <v>66.599999999999994</v>
      </c>
      <c r="H538" s="24">
        <f t="shared" si="63"/>
        <v>39.18362983024776</v>
      </c>
      <c r="I538" s="25">
        <f t="shared" si="64"/>
        <v>30.156321591246364</v>
      </c>
      <c r="J538" s="24">
        <f t="shared" si="65"/>
        <v>0.14014722988432748</v>
      </c>
      <c r="K538" s="14">
        <v>0.24</v>
      </c>
      <c r="L538" s="27">
        <v>2.0099999999999998</v>
      </c>
      <c r="M538" s="27">
        <v>1.77</v>
      </c>
      <c r="N538" s="4">
        <f t="shared" si="51"/>
        <v>1.1355932203389829</v>
      </c>
      <c r="O538" s="20">
        <f t="shared" si="52"/>
        <v>20.099999999999998</v>
      </c>
      <c r="P538">
        <f t="shared" si="59"/>
        <v>514.01198648648653</v>
      </c>
    </row>
    <row r="539" spans="1:16">
      <c r="A539" s="27" t="s">
        <v>603</v>
      </c>
      <c r="B539" s="22" t="s">
        <v>592</v>
      </c>
      <c r="C539" s="28">
        <v>0.1</v>
      </c>
      <c r="D539" s="22">
        <v>1750</v>
      </c>
      <c r="E539" s="22">
        <v>12.077</v>
      </c>
      <c r="F539" s="22">
        <v>1115</v>
      </c>
      <c r="G539" s="27">
        <v>66.599999999999994</v>
      </c>
      <c r="H539" s="24">
        <f t="shared" si="63"/>
        <v>34.285676101466791</v>
      </c>
      <c r="I539" s="25">
        <f t="shared" si="64"/>
        <v>23.088433718297992</v>
      </c>
      <c r="J539" s="24">
        <f t="shared" si="65"/>
        <v>0.14014722988432746</v>
      </c>
      <c r="K539" s="14">
        <v>0.24</v>
      </c>
      <c r="L539" s="27">
        <v>2.25</v>
      </c>
      <c r="M539" s="27">
        <v>1.99</v>
      </c>
      <c r="N539" s="4">
        <f t="shared" si="51"/>
        <v>1.1306532663316582</v>
      </c>
      <c r="O539" s="20">
        <f t="shared" si="52"/>
        <v>22.5</v>
      </c>
      <c r="P539">
        <f t="shared" si="59"/>
        <v>649.72992042042051</v>
      </c>
    </row>
    <row r="540" spans="1:16">
      <c r="A540" s="27" t="s">
        <v>604</v>
      </c>
      <c r="B540" s="22" t="s">
        <v>592</v>
      </c>
      <c r="C540" s="28">
        <v>0.1</v>
      </c>
      <c r="D540" s="22">
        <v>1500</v>
      </c>
      <c r="E540" s="22">
        <v>12.077</v>
      </c>
      <c r="F540" s="22">
        <v>1115</v>
      </c>
      <c r="G540" s="27">
        <v>66.599999999999994</v>
      </c>
      <c r="H540" s="24">
        <f t="shared" si="63"/>
        <v>29.387722372685822</v>
      </c>
      <c r="I540" s="25">
        <f t="shared" si="64"/>
        <v>16.962930895076074</v>
      </c>
      <c r="J540" s="24">
        <f t="shared" si="65"/>
        <v>0.14014722988432746</v>
      </c>
      <c r="K540" s="14">
        <v>0.24</v>
      </c>
      <c r="L540" s="27">
        <v>2.02</v>
      </c>
      <c r="M540" s="27">
        <v>1.78</v>
      </c>
      <c r="N540" s="4">
        <f t="shared" si="51"/>
        <v>1.1348314606741572</v>
      </c>
      <c r="O540" s="20">
        <f t="shared" si="52"/>
        <v>20.2</v>
      </c>
      <c r="P540">
        <f t="shared" si="59"/>
        <v>519.83643843843845</v>
      </c>
    </row>
    <row r="541" spans="1:16">
      <c r="A541" s="27" t="s">
        <v>605</v>
      </c>
      <c r="B541" s="22" t="s">
        <v>592</v>
      </c>
      <c r="C541" s="28">
        <v>0.1</v>
      </c>
      <c r="D541" s="22">
        <v>1250</v>
      </c>
      <c r="E541" s="22">
        <v>12.077</v>
      </c>
      <c r="F541" s="22">
        <v>1115</v>
      </c>
      <c r="G541" s="27">
        <v>66.599999999999994</v>
      </c>
      <c r="H541" s="24">
        <f t="shared" si="63"/>
        <v>24.489768643904846</v>
      </c>
      <c r="I541" s="25">
        <f t="shared" si="64"/>
        <v>11.779813121580608</v>
      </c>
      <c r="J541" s="24">
        <f t="shared" si="65"/>
        <v>0.14014722988432748</v>
      </c>
      <c r="K541" s="14">
        <v>0.24</v>
      </c>
      <c r="L541" s="27">
        <v>2.02</v>
      </c>
      <c r="M541" s="27">
        <v>1.79</v>
      </c>
      <c r="N541" s="4">
        <f t="shared" si="51"/>
        <v>1.1284916201117319</v>
      </c>
      <c r="O541" s="20">
        <f t="shared" si="52"/>
        <v>20.2</v>
      </c>
      <c r="P541">
        <f t="shared" si="59"/>
        <v>525.69370420420432</v>
      </c>
    </row>
    <row r="542" spans="1:16">
      <c r="A542" s="27" t="s">
        <v>606</v>
      </c>
      <c r="B542" s="22" t="s">
        <v>592</v>
      </c>
      <c r="C542" s="28">
        <v>0.1</v>
      </c>
      <c r="D542" s="22">
        <v>1000</v>
      </c>
      <c r="E542" s="22">
        <v>12.077</v>
      </c>
      <c r="F542" s="22">
        <v>1115</v>
      </c>
      <c r="G542" s="27">
        <v>66.599999999999994</v>
      </c>
      <c r="H542" s="24">
        <f t="shared" si="63"/>
        <v>19.59181491512388</v>
      </c>
      <c r="I542" s="25">
        <f t="shared" si="64"/>
        <v>7.539080397811591</v>
      </c>
      <c r="J542" s="24">
        <f t="shared" si="65"/>
        <v>0.14014722988432748</v>
      </c>
      <c r="K542" s="14">
        <v>0.24</v>
      </c>
      <c r="L542" s="27">
        <v>2.11</v>
      </c>
      <c r="M542" s="27">
        <v>1.87</v>
      </c>
      <c r="N542" s="4">
        <f t="shared" si="51"/>
        <v>1.1283422459893047</v>
      </c>
      <c r="O542" s="20">
        <f t="shared" si="52"/>
        <v>21.099999999999998</v>
      </c>
      <c r="P542">
        <f t="shared" si="59"/>
        <v>573.73312762762782</v>
      </c>
    </row>
    <row r="543" spans="1:16">
      <c r="A543" s="27" t="s">
        <v>607</v>
      </c>
      <c r="B543" s="22" t="s">
        <v>592</v>
      </c>
      <c r="C543" s="28">
        <v>0.1</v>
      </c>
      <c r="D543" s="22">
        <v>750</v>
      </c>
      <c r="E543" s="22">
        <v>12.077</v>
      </c>
      <c r="F543" s="22">
        <v>1115</v>
      </c>
      <c r="G543" s="27">
        <v>66.599999999999994</v>
      </c>
      <c r="H543" s="24">
        <f t="shared" si="63"/>
        <v>14.693861186342911</v>
      </c>
      <c r="I543" s="25">
        <f t="shared" si="64"/>
        <v>4.2407327237690184</v>
      </c>
      <c r="J543" s="24">
        <f t="shared" si="65"/>
        <v>0.14014722988432746</v>
      </c>
      <c r="K543" s="14">
        <v>0.24</v>
      </c>
      <c r="L543" s="27">
        <v>2.04</v>
      </c>
      <c r="M543" s="27">
        <v>1.8</v>
      </c>
      <c r="N543" s="4">
        <f t="shared" si="51"/>
        <v>1.1333333333333333</v>
      </c>
      <c r="O543" s="20">
        <f t="shared" si="52"/>
        <v>20.399999999999999</v>
      </c>
      <c r="P543">
        <f t="shared" si="59"/>
        <v>531.58378378378393</v>
      </c>
    </row>
    <row r="544" spans="1:16">
      <c r="A544" s="27" t="s">
        <v>608</v>
      </c>
      <c r="B544" s="22" t="s">
        <v>592</v>
      </c>
      <c r="C544" s="28">
        <v>0.1</v>
      </c>
      <c r="D544" s="22">
        <v>500</v>
      </c>
      <c r="E544" s="22">
        <v>12.077</v>
      </c>
      <c r="F544" s="22">
        <v>1115</v>
      </c>
      <c r="G544" s="27">
        <v>66.599999999999994</v>
      </c>
      <c r="H544" s="24">
        <f t="shared" si="63"/>
        <v>9.79590745756194</v>
      </c>
      <c r="I544" s="25">
        <f t="shared" si="64"/>
        <v>1.8847700994528978</v>
      </c>
      <c r="J544" s="24">
        <f t="shared" si="65"/>
        <v>0.14014722988432748</v>
      </c>
      <c r="K544" s="14">
        <v>0.24</v>
      </c>
      <c r="L544" s="27">
        <v>2.0499999999999998</v>
      </c>
      <c r="M544" s="27">
        <v>1.8</v>
      </c>
      <c r="N544" s="4">
        <f t="shared" si="51"/>
        <v>1.1388888888888888</v>
      </c>
      <c r="O544" s="20">
        <f t="shared" si="52"/>
        <v>20.499999999999996</v>
      </c>
      <c r="P544">
        <f t="shared" si="59"/>
        <v>531.58378378378393</v>
      </c>
    </row>
    <row r="545" spans="1:16">
      <c r="A545" s="27" t="s">
        <v>609</v>
      </c>
      <c r="B545" s="22" t="s">
        <v>592</v>
      </c>
      <c r="C545" s="28">
        <v>0.1</v>
      </c>
      <c r="D545" s="22">
        <v>250</v>
      </c>
      <c r="E545" s="22">
        <v>12.077</v>
      </c>
      <c r="F545" s="22">
        <v>1115</v>
      </c>
      <c r="G545" s="27">
        <v>66.599999999999994</v>
      </c>
      <c r="H545" s="24">
        <f t="shared" si="63"/>
        <v>4.89795372878097</v>
      </c>
      <c r="I545" s="25">
        <f t="shared" si="64"/>
        <v>0.47119252486322444</v>
      </c>
      <c r="J545" s="24">
        <f t="shared" si="65"/>
        <v>0.14014722988432748</v>
      </c>
      <c r="K545" s="14">
        <v>0.24</v>
      </c>
      <c r="L545" s="27">
        <v>2.11</v>
      </c>
      <c r="M545" s="27">
        <v>1.87</v>
      </c>
      <c r="N545" s="4">
        <f t="shared" si="51"/>
        <v>1.1283422459893047</v>
      </c>
      <c r="O545" s="20">
        <f t="shared" si="52"/>
        <v>21.099999999999998</v>
      </c>
      <c r="P545">
        <f t="shared" si="59"/>
        <v>573.73312762762782</v>
      </c>
    </row>
    <row r="546" spans="1:16">
      <c r="A546" s="27" t="s">
        <v>610</v>
      </c>
      <c r="B546" s="22" t="s">
        <v>592</v>
      </c>
      <c r="C546" s="28">
        <v>0.1</v>
      </c>
      <c r="D546" s="22">
        <v>100</v>
      </c>
      <c r="E546" s="22">
        <v>12.077</v>
      </c>
      <c r="F546" s="22">
        <v>1115</v>
      </c>
      <c r="G546" s="27">
        <v>66.599999999999994</v>
      </c>
      <c r="H546" s="24">
        <f t="shared" si="63"/>
        <v>1.9591814915123882</v>
      </c>
      <c r="I546" s="25">
        <f t="shared" si="64"/>
        <v>7.5390803978115886E-2</v>
      </c>
      <c r="J546" s="24">
        <f t="shared" si="65"/>
        <v>0.14014722988432746</v>
      </c>
      <c r="K546" s="14">
        <v>0.24</v>
      </c>
      <c r="L546" s="27">
        <v>2.1</v>
      </c>
      <c r="M546" s="27">
        <v>1.86</v>
      </c>
      <c r="N546" s="4">
        <f t="shared" si="51"/>
        <v>1.129032258064516</v>
      </c>
      <c r="O546" s="20">
        <f t="shared" si="52"/>
        <v>21</v>
      </c>
      <c r="P546">
        <f t="shared" si="59"/>
        <v>567.61335135135141</v>
      </c>
    </row>
    <row r="547" spans="1:16">
      <c r="A547" s="27" t="s">
        <v>611</v>
      </c>
      <c r="B547" s="22" t="s">
        <v>666</v>
      </c>
      <c r="C547" s="23">
        <v>2.38</v>
      </c>
      <c r="D547" s="22">
        <v>2000</v>
      </c>
      <c r="E547" s="26">
        <v>56.514000000000003</v>
      </c>
      <c r="F547" s="26">
        <v>1187</v>
      </c>
      <c r="G547" s="27">
        <v>64.8</v>
      </c>
      <c r="H547" s="24">
        <f t="shared" si="63"/>
        <v>0.37454722049503769</v>
      </c>
      <c r="I547" s="25">
        <f t="shared" si="64"/>
        <v>2.4474992632477098E-3</v>
      </c>
      <c r="J547" s="24">
        <f t="shared" si="65"/>
        <v>0.13208536673252128</v>
      </c>
      <c r="K547" s="14">
        <v>2.8</v>
      </c>
      <c r="L547" s="27">
        <v>10.98</v>
      </c>
      <c r="M547" s="27">
        <v>3.69</v>
      </c>
      <c r="N547" s="4">
        <f t="shared" si="51"/>
        <v>2.975609756097561</v>
      </c>
      <c r="O547" s="20">
        <f t="shared" si="52"/>
        <v>4.613445378151261</v>
      </c>
      <c r="P547">
        <f t="shared" si="59"/>
        <v>2444.3000750000001</v>
      </c>
    </row>
    <row r="548" spans="1:16">
      <c r="A548" s="27" t="s">
        <v>612</v>
      </c>
      <c r="B548" s="22" t="s">
        <v>666</v>
      </c>
      <c r="C548" s="23">
        <v>2.38</v>
      </c>
      <c r="D548" s="22">
        <v>1750</v>
      </c>
      <c r="E548" s="26">
        <v>56.514000000000003</v>
      </c>
      <c r="F548" s="26">
        <v>1187</v>
      </c>
      <c r="G548" s="27">
        <v>64.8</v>
      </c>
      <c r="H548" s="24">
        <f t="shared" si="63"/>
        <v>0.32772881793315795</v>
      </c>
      <c r="I548" s="25">
        <f t="shared" si="64"/>
        <v>1.8738666234240273E-3</v>
      </c>
      <c r="J548" s="24">
        <f t="shared" si="65"/>
        <v>0.1320853667325213</v>
      </c>
      <c r="K548" s="14">
        <v>2.8</v>
      </c>
      <c r="L548" s="27">
        <v>10.99</v>
      </c>
      <c r="M548" s="27">
        <v>3.69</v>
      </c>
      <c r="N548" s="4">
        <f t="shared" si="51"/>
        <v>2.9783197831978319</v>
      </c>
      <c r="O548" s="20">
        <f t="shared" si="52"/>
        <v>4.6176470588235299</v>
      </c>
      <c r="P548">
        <f t="shared" si="59"/>
        <v>2444.3000750000001</v>
      </c>
    </row>
    <row r="549" spans="1:16">
      <c r="A549" s="27" t="s">
        <v>613</v>
      </c>
      <c r="B549" s="22" t="s">
        <v>591</v>
      </c>
      <c r="C549" s="23">
        <v>2.38</v>
      </c>
      <c r="D549" s="22">
        <v>1500</v>
      </c>
      <c r="E549" s="26">
        <v>56.514000000000003</v>
      </c>
      <c r="F549" s="26">
        <v>1187</v>
      </c>
      <c r="G549" s="27">
        <v>64.8</v>
      </c>
      <c r="H549" s="24">
        <f t="shared" si="63"/>
        <v>0.28091041537127825</v>
      </c>
      <c r="I549" s="25">
        <f t="shared" ref="I549:I550" si="66">(16 * F549 * (D549 * 10^-9 / 60)^2) / (PI()^2 * (C549 * 10^-3)^3 * (G549 * 10^-3))</f>
        <v>1.3767183355768364E-3</v>
      </c>
      <c r="J549" s="24">
        <f t="shared" ref="J549:J550" si="67">SQRT(I549)/H549</f>
        <v>0.13208536673252128</v>
      </c>
      <c r="K549" s="14">
        <v>2.8</v>
      </c>
      <c r="L549" s="27">
        <v>10.86</v>
      </c>
      <c r="M549" s="27">
        <v>3.7</v>
      </c>
      <c r="N549" s="4">
        <f t="shared" si="51"/>
        <v>2.9351351351351349</v>
      </c>
      <c r="O549" s="20">
        <f t="shared" si="52"/>
        <v>4.5630252100840334</v>
      </c>
      <c r="P549">
        <f t="shared" si="59"/>
        <v>2457.566265432099</v>
      </c>
    </row>
    <row r="550" spans="1:16">
      <c r="A550" s="27" t="s">
        <v>614</v>
      </c>
      <c r="B550" s="22" t="s">
        <v>591</v>
      </c>
      <c r="C550" s="23">
        <v>2.38</v>
      </c>
      <c r="D550" s="22">
        <v>1250</v>
      </c>
      <c r="E550" s="26">
        <v>56.514000000000003</v>
      </c>
      <c r="F550" s="26">
        <v>1187</v>
      </c>
      <c r="G550" s="27">
        <v>64.8</v>
      </c>
      <c r="H550" s="24">
        <f t="shared" si="63"/>
        <v>0.23409201280939854</v>
      </c>
      <c r="I550" s="25">
        <f t="shared" si="66"/>
        <v>9.5605439970613637E-4</v>
      </c>
      <c r="J550" s="24">
        <f t="shared" si="67"/>
        <v>0.13208536673252128</v>
      </c>
      <c r="K550" s="14">
        <v>2.8</v>
      </c>
      <c r="L550" s="27">
        <v>10.71</v>
      </c>
      <c r="M550" s="27">
        <v>3.68</v>
      </c>
      <c r="N550" s="4">
        <f t="shared" si="51"/>
        <v>2.910326086956522</v>
      </c>
      <c r="O550" s="20">
        <f t="shared" si="52"/>
        <v>4.5000000000000009</v>
      </c>
      <c r="P550">
        <f t="shared" si="59"/>
        <v>2431.0697876543213</v>
      </c>
    </row>
    <row r="551" spans="1:16">
      <c r="A551" s="27" t="s">
        <v>615</v>
      </c>
      <c r="B551" s="22" t="s">
        <v>591</v>
      </c>
      <c r="C551" s="23">
        <v>2.38</v>
      </c>
      <c r="D551" s="22">
        <v>1000</v>
      </c>
      <c r="E551" s="26">
        <v>56.514000000000003</v>
      </c>
      <c r="F551" s="26">
        <v>1187</v>
      </c>
      <c r="G551" s="27">
        <v>64.8</v>
      </c>
      <c r="H551" s="24">
        <f t="shared" si="63"/>
        <v>0.18727361024751885</v>
      </c>
      <c r="I551" s="25">
        <f t="shared" ref="I551:I614" si="68">(16 * F551 * (D551 * 10^-9 / 60)^2) / (PI()^2 * (C551 * 10^-3)^3 * (G551 * 10^-3))</f>
        <v>6.1187481581192744E-4</v>
      </c>
      <c r="J551" s="24">
        <f t="shared" ref="J551:J614" si="69">SQRT(I551)/H551</f>
        <v>0.13208536673252128</v>
      </c>
      <c r="K551" s="14">
        <v>2.8</v>
      </c>
      <c r="L551" s="27">
        <v>10.54</v>
      </c>
      <c r="M551" s="27">
        <v>3.68</v>
      </c>
      <c r="N551" s="4">
        <f t="shared" si="51"/>
        <v>2.8641304347826084</v>
      </c>
      <c r="O551" s="20">
        <f t="shared" si="52"/>
        <v>4.4285714285714288</v>
      </c>
      <c r="P551">
        <f t="shared" si="59"/>
        <v>2431.0697876543213</v>
      </c>
    </row>
    <row r="552" spans="1:16">
      <c r="A552" s="27" t="s">
        <v>616</v>
      </c>
      <c r="B552" s="22" t="s">
        <v>591</v>
      </c>
      <c r="C552" s="23">
        <v>2.38</v>
      </c>
      <c r="D552" s="22">
        <v>750</v>
      </c>
      <c r="E552" s="26">
        <v>56.514000000000003</v>
      </c>
      <c r="F552" s="26">
        <v>1187</v>
      </c>
      <c r="G552" s="27">
        <v>64.8</v>
      </c>
      <c r="H552" s="24">
        <f t="shared" si="63"/>
        <v>0.14045520768563913</v>
      </c>
      <c r="I552" s="25">
        <f t="shared" si="68"/>
        <v>3.4417958389420909E-4</v>
      </c>
      <c r="J552" s="24">
        <f t="shared" si="69"/>
        <v>0.13208536673252128</v>
      </c>
      <c r="K552" s="14">
        <v>2.8</v>
      </c>
      <c r="L552" s="27">
        <v>10.42</v>
      </c>
      <c r="M552" s="27">
        <v>3.66</v>
      </c>
      <c r="N552" s="4">
        <f t="shared" si="51"/>
        <v>2.8469945355191255</v>
      </c>
      <c r="O552" s="20">
        <f t="shared" si="52"/>
        <v>4.3781512605042021</v>
      </c>
      <c r="P552">
        <f t="shared" si="59"/>
        <v>2404.7169222222228</v>
      </c>
    </row>
    <row r="553" spans="1:16">
      <c r="A553" s="27" t="s">
        <v>617</v>
      </c>
      <c r="B553" s="22" t="s">
        <v>591</v>
      </c>
      <c r="C553" s="23">
        <v>2.38</v>
      </c>
      <c r="D553" s="22">
        <v>500</v>
      </c>
      <c r="E553" s="26">
        <v>56.514000000000003</v>
      </c>
      <c r="F553" s="26">
        <v>1187</v>
      </c>
      <c r="G553" s="27">
        <v>64.8</v>
      </c>
      <c r="H553" s="24">
        <f t="shared" si="63"/>
        <v>9.3636805123759423E-2</v>
      </c>
      <c r="I553" s="25">
        <f t="shared" si="68"/>
        <v>1.5296870395298186E-4</v>
      </c>
      <c r="J553" s="24">
        <f t="shared" si="69"/>
        <v>0.13208536673252128</v>
      </c>
      <c r="K553" s="14">
        <v>2.8</v>
      </c>
      <c r="L553" s="27">
        <v>10.199999999999999</v>
      </c>
      <c r="M553" s="27">
        <v>3.66</v>
      </c>
      <c r="N553" s="4">
        <f t="shared" si="51"/>
        <v>2.7868852459016389</v>
      </c>
      <c r="O553" s="20">
        <f t="shared" si="52"/>
        <v>4.2857142857142856</v>
      </c>
      <c r="P553">
        <f t="shared" si="59"/>
        <v>2404.7169222222228</v>
      </c>
    </row>
    <row r="554" spans="1:16">
      <c r="A554" s="27" t="s">
        <v>618</v>
      </c>
      <c r="B554" s="22" t="s">
        <v>591</v>
      </c>
      <c r="C554" s="23">
        <v>2.38</v>
      </c>
      <c r="D554" s="22">
        <v>250</v>
      </c>
      <c r="E554" s="26">
        <v>56.514000000000003</v>
      </c>
      <c r="F554" s="26">
        <v>1187</v>
      </c>
      <c r="G554" s="27">
        <v>64.8</v>
      </c>
      <c r="H554" s="24">
        <f t="shared" si="63"/>
        <v>4.6818402561879711E-2</v>
      </c>
      <c r="I554" s="25">
        <f t="shared" si="68"/>
        <v>3.8242175988245465E-5</v>
      </c>
      <c r="J554" s="24">
        <f t="shared" si="69"/>
        <v>0.13208536673252128</v>
      </c>
      <c r="K554" s="14">
        <v>2.8</v>
      </c>
      <c r="L554" s="27">
        <v>9.99</v>
      </c>
      <c r="M554" s="27">
        <v>3.64</v>
      </c>
      <c r="N554" s="4">
        <f t="shared" si="51"/>
        <v>2.7445054945054945</v>
      </c>
      <c r="O554" s="20">
        <f t="shared" si="52"/>
        <v>4.1974789915966388</v>
      </c>
      <c r="P554">
        <f t="shared" si="59"/>
        <v>2378.5076691358031</v>
      </c>
    </row>
    <row r="555" spans="1:16">
      <c r="A555" s="27" t="s">
        <v>619</v>
      </c>
      <c r="B555" s="22" t="s">
        <v>591</v>
      </c>
      <c r="C555" s="23">
        <v>2.38</v>
      </c>
      <c r="D555" s="22">
        <v>100</v>
      </c>
      <c r="E555" s="26">
        <v>56.514000000000003</v>
      </c>
      <c r="F555" s="26">
        <v>1187</v>
      </c>
      <c r="G555" s="27">
        <v>64.8</v>
      </c>
      <c r="H555" s="24">
        <f t="shared" si="63"/>
        <v>1.8727361024751882E-2</v>
      </c>
      <c r="I555" s="25">
        <f t="shared" si="68"/>
        <v>6.1187481581192741E-6</v>
      </c>
      <c r="J555" s="24">
        <f t="shared" si="69"/>
        <v>0.1320853667325213</v>
      </c>
      <c r="K555" s="14">
        <v>2.8</v>
      </c>
      <c r="L555" s="27">
        <v>9.59</v>
      </c>
      <c r="M555" s="27">
        <v>3.62</v>
      </c>
      <c r="N555" s="4">
        <f t="shared" si="51"/>
        <v>2.6491712707182318</v>
      </c>
      <c r="O555" s="20">
        <f t="shared" si="52"/>
        <v>4.0294117647058822</v>
      </c>
      <c r="P555">
        <f t="shared" si="59"/>
        <v>2352.4420283950622</v>
      </c>
    </row>
    <row r="556" spans="1:16">
      <c r="A556" s="27" t="s">
        <v>620</v>
      </c>
      <c r="B556" s="22" t="s">
        <v>591</v>
      </c>
      <c r="C556" s="23">
        <v>1.79</v>
      </c>
      <c r="D556" s="22">
        <v>2000</v>
      </c>
      <c r="E556" s="26">
        <v>56.514000000000003</v>
      </c>
      <c r="F556" s="26">
        <v>1187</v>
      </c>
      <c r="G556" s="27">
        <v>64.8</v>
      </c>
      <c r="H556" s="24">
        <f t="shared" si="63"/>
        <v>0.49800133227831817</v>
      </c>
      <c r="I556" s="25">
        <f t="shared" si="68"/>
        <v>5.7529996548838641E-3</v>
      </c>
      <c r="J556" s="24">
        <f t="shared" si="69"/>
        <v>0.15230587969146486</v>
      </c>
      <c r="K556" s="14">
        <v>2.4</v>
      </c>
      <c r="L556" s="27">
        <v>8.94</v>
      </c>
      <c r="M556" s="27">
        <v>3.46</v>
      </c>
      <c r="N556" s="4">
        <f t="shared" si="51"/>
        <v>2.5838150289017339</v>
      </c>
      <c r="O556" s="20">
        <f t="shared" si="52"/>
        <v>4.994413407821229</v>
      </c>
      <c r="P556">
        <f t="shared" si="59"/>
        <v>2149.0869469135805</v>
      </c>
    </row>
    <row r="557" spans="1:16">
      <c r="A557" s="27" t="s">
        <v>621</v>
      </c>
      <c r="B557" s="22" t="s">
        <v>591</v>
      </c>
      <c r="C557" s="23">
        <v>1.79</v>
      </c>
      <c r="D557" s="22">
        <v>1750</v>
      </c>
      <c r="E557" s="26">
        <v>56.514000000000003</v>
      </c>
      <c r="F557" s="26">
        <v>1187</v>
      </c>
      <c r="G557" s="27">
        <v>64.8</v>
      </c>
      <c r="H557" s="24">
        <f t="shared" si="63"/>
        <v>0.4357511657435284</v>
      </c>
      <c r="I557" s="25">
        <f t="shared" si="68"/>
        <v>4.4046403607704574E-3</v>
      </c>
      <c r="J557" s="24">
        <f t="shared" si="69"/>
        <v>0.15230587969146486</v>
      </c>
      <c r="K557" s="14">
        <v>2.4</v>
      </c>
      <c r="L557" s="27">
        <v>8.93</v>
      </c>
      <c r="M557" s="27">
        <v>3.47</v>
      </c>
      <c r="N557" s="4">
        <f t="shared" si="51"/>
        <v>2.5734870317002878</v>
      </c>
      <c r="O557" s="20">
        <f t="shared" si="52"/>
        <v>4.988826815642458</v>
      </c>
      <c r="P557">
        <f t="shared" si="59"/>
        <v>2161.5273663580251</v>
      </c>
    </row>
    <row r="558" spans="1:16">
      <c r="A558" s="27" t="s">
        <v>622</v>
      </c>
      <c r="B558" s="22" t="s">
        <v>591</v>
      </c>
      <c r="C558" s="23">
        <v>1.79</v>
      </c>
      <c r="D558" s="22">
        <v>1500</v>
      </c>
      <c r="E558" s="26">
        <v>56.514000000000003</v>
      </c>
      <c r="F558" s="26">
        <v>1187</v>
      </c>
      <c r="G558" s="27">
        <v>64.8</v>
      </c>
      <c r="H558" s="24">
        <f t="shared" si="63"/>
        <v>0.37350099920873864</v>
      </c>
      <c r="I558" s="25">
        <f t="shared" si="68"/>
        <v>3.2360623058721727E-3</v>
      </c>
      <c r="J558" s="24">
        <f t="shared" si="69"/>
        <v>0.15230587969146486</v>
      </c>
      <c r="K558" s="14">
        <v>2.4</v>
      </c>
      <c r="L558" s="27">
        <v>8.8699999999999992</v>
      </c>
      <c r="M558" s="27">
        <v>3.49</v>
      </c>
      <c r="N558" s="4">
        <f t="shared" si="51"/>
        <v>2.5415472779369623</v>
      </c>
      <c r="O558" s="20">
        <f t="shared" si="52"/>
        <v>4.955307262569832</v>
      </c>
      <c r="P558">
        <f t="shared" si="59"/>
        <v>2186.5159145061734</v>
      </c>
    </row>
    <row r="559" spans="1:16">
      <c r="A559" s="27" t="s">
        <v>623</v>
      </c>
      <c r="B559" s="22" t="s">
        <v>591</v>
      </c>
      <c r="C559" s="23">
        <v>1.79</v>
      </c>
      <c r="D559" s="22">
        <v>1250</v>
      </c>
      <c r="E559" s="26">
        <v>56.514000000000003</v>
      </c>
      <c r="F559" s="26">
        <v>1187</v>
      </c>
      <c r="G559" s="27">
        <v>64.8</v>
      </c>
      <c r="H559" s="24">
        <f t="shared" si="63"/>
        <v>0.31125083267394887</v>
      </c>
      <c r="I559" s="25">
        <f t="shared" si="68"/>
        <v>2.2472654901890088E-3</v>
      </c>
      <c r="J559" s="24">
        <f t="shared" si="69"/>
        <v>0.15230587969146486</v>
      </c>
      <c r="K559" s="14">
        <v>2.4</v>
      </c>
      <c r="L559" s="27">
        <v>8.77</v>
      </c>
      <c r="M559" s="27">
        <v>3.49</v>
      </c>
      <c r="N559" s="4">
        <f t="shared" si="51"/>
        <v>2.5128939828080226</v>
      </c>
      <c r="O559" s="20">
        <f t="shared" si="52"/>
        <v>4.8994413407821229</v>
      </c>
      <c r="P559">
        <f t="shared" si="59"/>
        <v>2186.5159145061734</v>
      </c>
    </row>
    <row r="560" spans="1:16">
      <c r="A560" s="27" t="s">
        <v>624</v>
      </c>
      <c r="B560" s="22" t="s">
        <v>591</v>
      </c>
      <c r="C560" s="23">
        <v>1.79</v>
      </c>
      <c r="D560" s="22">
        <v>1000</v>
      </c>
      <c r="E560" s="26">
        <v>56.514000000000003</v>
      </c>
      <c r="F560" s="26">
        <v>1187</v>
      </c>
      <c r="G560" s="27">
        <v>64.8</v>
      </c>
      <c r="H560" s="24">
        <f t="shared" si="63"/>
        <v>0.24900066613915908</v>
      </c>
      <c r="I560" s="25">
        <f t="shared" si="68"/>
        <v>1.438249913720966E-3</v>
      </c>
      <c r="J560" s="24">
        <f t="shared" si="69"/>
        <v>0.15230587969146486</v>
      </c>
      <c r="K560" s="14">
        <v>2.4</v>
      </c>
      <c r="L560" s="27">
        <v>8.65</v>
      </c>
      <c r="M560" s="27">
        <v>3.48</v>
      </c>
      <c r="N560" s="4">
        <f t="shared" si="51"/>
        <v>2.485632183908046</v>
      </c>
      <c r="O560" s="20">
        <f t="shared" si="52"/>
        <v>4.8324022346368718</v>
      </c>
      <c r="P560">
        <f t="shared" si="59"/>
        <v>2174.0036888888894</v>
      </c>
    </row>
    <row r="561" spans="1:16">
      <c r="A561" s="27" t="s">
        <v>625</v>
      </c>
      <c r="B561" s="22" t="s">
        <v>591</v>
      </c>
      <c r="C561" s="23">
        <v>1.79</v>
      </c>
      <c r="D561" s="22">
        <v>750</v>
      </c>
      <c r="E561" s="26">
        <v>56.514000000000003</v>
      </c>
      <c r="F561" s="26">
        <v>1187</v>
      </c>
      <c r="G561" s="27">
        <v>64.8</v>
      </c>
      <c r="H561" s="24">
        <f t="shared" si="63"/>
        <v>0.18675049960436932</v>
      </c>
      <c r="I561" s="25">
        <f t="shared" si="68"/>
        <v>8.0901557646804317E-4</v>
      </c>
      <c r="J561" s="24">
        <f t="shared" si="69"/>
        <v>0.15230587969146486</v>
      </c>
      <c r="K561" s="14">
        <v>2.4</v>
      </c>
      <c r="L561" s="27">
        <v>8.6</v>
      </c>
      <c r="M561" s="27">
        <v>3.47</v>
      </c>
      <c r="N561" s="4">
        <f t="shared" si="51"/>
        <v>2.478386167146974</v>
      </c>
      <c r="O561" s="20">
        <f t="shared" si="52"/>
        <v>4.8044692737430168</v>
      </c>
      <c r="P561">
        <f t="shared" si="59"/>
        <v>2161.5273663580251</v>
      </c>
    </row>
    <row r="562" spans="1:16">
      <c r="A562" s="27" t="s">
        <v>626</v>
      </c>
      <c r="B562" s="22" t="s">
        <v>591</v>
      </c>
      <c r="C562" s="23">
        <v>1.79</v>
      </c>
      <c r="D562" s="22">
        <v>500</v>
      </c>
      <c r="E562" s="26">
        <v>56.514000000000003</v>
      </c>
      <c r="F562" s="26">
        <v>1187</v>
      </c>
      <c r="G562" s="27">
        <v>64.8</v>
      </c>
      <c r="H562" s="24">
        <f t="shared" si="63"/>
        <v>0.12450033306957954</v>
      </c>
      <c r="I562" s="25">
        <f t="shared" si="68"/>
        <v>3.5956247843024151E-4</v>
      </c>
      <c r="J562" s="24">
        <f t="shared" si="69"/>
        <v>0.15230587969146486</v>
      </c>
      <c r="K562" s="14">
        <v>2.4</v>
      </c>
      <c r="L562" s="27">
        <v>8.65</v>
      </c>
      <c r="M562" s="27">
        <v>3.47</v>
      </c>
      <c r="N562" s="4">
        <f t="shared" si="51"/>
        <v>2.4927953890489913</v>
      </c>
      <c r="O562" s="20">
        <f t="shared" si="52"/>
        <v>4.8324022346368718</v>
      </c>
      <c r="P562">
        <f t="shared" si="59"/>
        <v>2161.5273663580251</v>
      </c>
    </row>
    <row r="563" spans="1:16">
      <c r="A563" s="27" t="s">
        <v>627</v>
      </c>
      <c r="B563" s="22" t="s">
        <v>591</v>
      </c>
      <c r="C563" s="23">
        <v>1.79</v>
      </c>
      <c r="D563" s="22">
        <v>250</v>
      </c>
      <c r="E563" s="26">
        <v>56.514000000000003</v>
      </c>
      <c r="F563" s="26">
        <v>1187</v>
      </c>
      <c r="G563" s="27">
        <v>64.8</v>
      </c>
      <c r="H563" s="24">
        <f t="shared" si="63"/>
        <v>6.2250166534789771E-2</v>
      </c>
      <c r="I563" s="25">
        <f t="shared" si="68"/>
        <v>8.9890619607560377E-5</v>
      </c>
      <c r="J563" s="24">
        <f t="shared" si="69"/>
        <v>0.15230587969146486</v>
      </c>
      <c r="K563" s="14">
        <v>2.4</v>
      </c>
      <c r="L563" s="27">
        <v>8.4600000000000009</v>
      </c>
      <c r="M563" s="27">
        <v>3.44</v>
      </c>
      <c r="N563" s="4">
        <f t="shared" si="51"/>
        <v>2.4593023255813957</v>
      </c>
      <c r="O563" s="20">
        <f t="shared" si="52"/>
        <v>4.7262569832402237</v>
      </c>
      <c r="P563">
        <f t="shared" si="59"/>
        <v>2124.3138172839508</v>
      </c>
    </row>
    <row r="564" spans="1:16">
      <c r="A564" s="27" t="s">
        <v>628</v>
      </c>
      <c r="B564" s="22" t="s">
        <v>591</v>
      </c>
      <c r="C564" s="23">
        <v>1.79</v>
      </c>
      <c r="D564" s="22">
        <v>100</v>
      </c>
      <c r="E564" s="26">
        <v>56.514000000000003</v>
      </c>
      <c r="F564" s="26">
        <v>1187</v>
      </c>
      <c r="G564" s="27">
        <v>64.8</v>
      </c>
      <c r="H564" s="24">
        <f t="shared" si="63"/>
        <v>2.4900066613915906E-2</v>
      </c>
      <c r="I564" s="25">
        <f t="shared" si="68"/>
        <v>1.4382499137209658E-5</v>
      </c>
      <c r="J564" s="24">
        <f t="shared" si="69"/>
        <v>0.15230587969146489</v>
      </c>
      <c r="K564" s="14">
        <v>2.4</v>
      </c>
      <c r="L564" s="27">
        <v>8.14</v>
      </c>
      <c r="M564" s="27">
        <v>3.41</v>
      </c>
      <c r="N564" s="4">
        <f t="shared" si="51"/>
        <v>2.3870967741935485</v>
      </c>
      <c r="O564" s="20">
        <f t="shared" si="52"/>
        <v>4.5474860335195535</v>
      </c>
      <c r="P564">
        <f t="shared" si="59"/>
        <v>2087.4233959876547</v>
      </c>
    </row>
    <row r="565" spans="1:16">
      <c r="A565" s="27" t="s">
        <v>629</v>
      </c>
      <c r="B565" s="22" t="s">
        <v>591</v>
      </c>
      <c r="C565" s="23">
        <v>1.37</v>
      </c>
      <c r="D565" s="22">
        <v>2000</v>
      </c>
      <c r="E565" s="26">
        <v>56.514000000000003</v>
      </c>
      <c r="F565" s="26">
        <v>1187</v>
      </c>
      <c r="G565" s="27">
        <v>64.8</v>
      </c>
      <c r="H565" s="24">
        <f t="shared" si="63"/>
        <v>0.65067327356072235</v>
      </c>
      <c r="I565" s="25">
        <f t="shared" si="68"/>
        <v>1.2831922838926419E-2</v>
      </c>
      <c r="J565" s="24">
        <f t="shared" si="69"/>
        <v>0.17409363821893376</v>
      </c>
      <c r="K565" s="14">
        <v>1.8</v>
      </c>
      <c r="L565" s="27">
        <v>6.84</v>
      </c>
      <c r="M565" s="27">
        <v>3.29</v>
      </c>
      <c r="N565" s="4">
        <f t="shared" si="51"/>
        <v>2.0790273556231003</v>
      </c>
      <c r="O565" s="20">
        <f t="shared" si="52"/>
        <v>4.992700729927007</v>
      </c>
      <c r="P565">
        <f t="shared" si="59"/>
        <v>1943.0929885802473</v>
      </c>
    </row>
    <row r="566" spans="1:16">
      <c r="A566" s="27" t="s">
        <v>630</v>
      </c>
      <c r="B566" s="22" t="s">
        <v>591</v>
      </c>
      <c r="C566" s="23">
        <v>1.37</v>
      </c>
      <c r="D566" s="22">
        <v>1750</v>
      </c>
      <c r="E566" s="26">
        <v>56.514000000000003</v>
      </c>
      <c r="F566" s="26">
        <v>1187</v>
      </c>
      <c r="G566" s="27">
        <v>64.8</v>
      </c>
      <c r="H566" s="24">
        <f t="shared" si="63"/>
        <v>0.569339114365632</v>
      </c>
      <c r="I566" s="25">
        <f t="shared" si="68"/>
        <v>9.8244409235530381E-3</v>
      </c>
      <c r="J566" s="24">
        <f t="shared" si="69"/>
        <v>0.17409363821893376</v>
      </c>
      <c r="K566" s="14">
        <v>1.8</v>
      </c>
      <c r="L566" s="27">
        <v>6.93</v>
      </c>
      <c r="M566" s="27">
        <v>3.29</v>
      </c>
      <c r="N566" s="4">
        <f t="shared" si="51"/>
        <v>2.1063829787234041</v>
      </c>
      <c r="O566" s="20">
        <f t="shared" si="52"/>
        <v>5.0583941605839406</v>
      </c>
      <c r="P566">
        <f t="shared" si="59"/>
        <v>1943.0929885802473</v>
      </c>
    </row>
    <row r="567" spans="1:16">
      <c r="A567" s="27" t="s">
        <v>631</v>
      </c>
      <c r="B567" s="22" t="s">
        <v>591</v>
      </c>
      <c r="C567" s="23">
        <v>1.37</v>
      </c>
      <c r="D567" s="22">
        <v>1500</v>
      </c>
      <c r="E567" s="26">
        <v>56.514000000000003</v>
      </c>
      <c r="F567" s="26">
        <v>1187</v>
      </c>
      <c r="G567" s="27">
        <v>64.8</v>
      </c>
      <c r="H567" s="24">
        <f t="shared" si="63"/>
        <v>0.48800495517054171</v>
      </c>
      <c r="I567" s="25">
        <f t="shared" si="68"/>
        <v>7.2179565968961091E-3</v>
      </c>
      <c r="J567" s="24">
        <f t="shared" si="69"/>
        <v>0.17409363821893376</v>
      </c>
      <c r="K567" s="14">
        <v>1.8</v>
      </c>
      <c r="L567" s="27">
        <v>6.85</v>
      </c>
      <c r="M567" s="27">
        <v>3.28</v>
      </c>
      <c r="N567" s="4">
        <f t="shared" si="51"/>
        <v>2.0884146341463414</v>
      </c>
      <c r="O567" s="20">
        <f t="shared" si="52"/>
        <v>4.9999999999999991</v>
      </c>
      <c r="P567">
        <f t="shared" si="59"/>
        <v>1931.2988246913578</v>
      </c>
    </row>
    <row r="568" spans="1:16">
      <c r="A568" s="27" t="s">
        <v>632</v>
      </c>
      <c r="B568" s="22" t="s">
        <v>591</v>
      </c>
      <c r="C568" s="23">
        <v>1.37</v>
      </c>
      <c r="D568" s="22">
        <v>1250</v>
      </c>
      <c r="E568" s="26">
        <v>56.514000000000003</v>
      </c>
      <c r="F568" s="26">
        <v>1187</v>
      </c>
      <c r="G568" s="27">
        <v>64.8</v>
      </c>
      <c r="H568" s="24">
        <f t="shared" si="63"/>
        <v>0.40667079597545142</v>
      </c>
      <c r="I568" s="25">
        <f t="shared" si="68"/>
        <v>5.0124698589556309E-3</v>
      </c>
      <c r="J568" s="24">
        <f t="shared" si="69"/>
        <v>0.17409363821893376</v>
      </c>
      <c r="K568" s="14">
        <v>1.8</v>
      </c>
      <c r="L568" s="27">
        <v>6.79</v>
      </c>
      <c r="M568" s="27">
        <v>3.29</v>
      </c>
      <c r="N568" s="4">
        <f t="shared" si="51"/>
        <v>2.0638297872340425</v>
      </c>
      <c r="O568" s="20">
        <f t="shared" si="52"/>
        <v>4.9562043795620436</v>
      </c>
      <c r="P568">
        <f t="shared" si="59"/>
        <v>1943.0929885802473</v>
      </c>
    </row>
    <row r="569" spans="1:16">
      <c r="A569" s="27" t="s">
        <v>633</v>
      </c>
      <c r="B569" s="22" t="s">
        <v>591</v>
      </c>
      <c r="C569" s="23">
        <v>1.37</v>
      </c>
      <c r="D569" s="22">
        <v>1000</v>
      </c>
      <c r="E569" s="26">
        <v>56.514000000000003</v>
      </c>
      <c r="F569" s="26">
        <v>1187</v>
      </c>
      <c r="G569" s="27">
        <v>64.8</v>
      </c>
      <c r="H569" s="24">
        <f t="shared" si="63"/>
        <v>0.32533663678036118</v>
      </c>
      <c r="I569" s="25">
        <f t="shared" si="68"/>
        <v>3.2079807097316047E-3</v>
      </c>
      <c r="J569" s="24">
        <f t="shared" si="69"/>
        <v>0.17409363821893376</v>
      </c>
      <c r="K569" s="14">
        <v>1.8</v>
      </c>
      <c r="L569" s="27">
        <v>6.6</v>
      </c>
      <c r="M569" s="27">
        <v>3.28</v>
      </c>
      <c r="N569" s="4">
        <f t="shared" si="51"/>
        <v>2.0121951219512195</v>
      </c>
      <c r="O569" s="20">
        <f t="shared" si="52"/>
        <v>4.8175182481751815</v>
      </c>
      <c r="P569">
        <f t="shared" si="59"/>
        <v>1931.2988246913578</v>
      </c>
    </row>
    <row r="570" spans="1:16">
      <c r="A570" s="27" t="s">
        <v>634</v>
      </c>
      <c r="B570" s="22" t="s">
        <v>591</v>
      </c>
      <c r="C570" s="23">
        <v>1.37</v>
      </c>
      <c r="D570" s="22">
        <v>750</v>
      </c>
      <c r="E570" s="26">
        <v>56.514000000000003</v>
      </c>
      <c r="F570" s="26">
        <v>1187</v>
      </c>
      <c r="G570" s="27">
        <v>64.8</v>
      </c>
      <c r="H570" s="24">
        <f t="shared" si="63"/>
        <v>0.24400247758527085</v>
      </c>
      <c r="I570" s="25">
        <f t="shared" si="68"/>
        <v>1.8044891492240273E-3</v>
      </c>
      <c r="J570" s="24">
        <f t="shared" si="69"/>
        <v>0.17409363821893376</v>
      </c>
      <c r="K570" s="14">
        <v>1.8</v>
      </c>
      <c r="L570" s="27">
        <v>6.55</v>
      </c>
      <c r="M570" s="27">
        <v>3.27</v>
      </c>
      <c r="N570" s="4">
        <f t="shared" si="51"/>
        <v>2.0030581039755351</v>
      </c>
      <c r="O570" s="20">
        <f t="shared" si="52"/>
        <v>4.7810218978102181</v>
      </c>
      <c r="P570">
        <f t="shared" si="59"/>
        <v>1919.5405638888894</v>
      </c>
    </row>
    <row r="571" spans="1:16">
      <c r="A571" s="27" t="s">
        <v>635</v>
      </c>
      <c r="B571" s="22" t="s">
        <v>591</v>
      </c>
      <c r="C571" s="23">
        <v>1.37</v>
      </c>
      <c r="D571" s="22">
        <v>500</v>
      </c>
      <c r="E571" s="26">
        <v>56.514000000000003</v>
      </c>
      <c r="F571" s="26">
        <v>1187</v>
      </c>
      <c r="G571" s="27">
        <v>64.8</v>
      </c>
      <c r="H571" s="24">
        <f t="shared" si="63"/>
        <v>0.16266831839018059</v>
      </c>
      <c r="I571" s="25">
        <f t="shared" si="68"/>
        <v>8.0199517743290117E-4</v>
      </c>
      <c r="J571" s="24">
        <f t="shared" si="69"/>
        <v>0.17409363821893376</v>
      </c>
      <c r="K571" s="14">
        <v>1.8</v>
      </c>
      <c r="L571" s="27">
        <v>6.5</v>
      </c>
      <c r="M571" s="27">
        <v>3.26</v>
      </c>
      <c r="N571" s="4">
        <f t="shared" si="51"/>
        <v>1.9938650306748467</v>
      </c>
      <c r="O571" s="20">
        <f t="shared" si="52"/>
        <v>4.7445255474452548</v>
      </c>
      <c r="P571">
        <f t="shared" si="59"/>
        <v>1907.8182061728394</v>
      </c>
    </row>
    <row r="572" spans="1:16">
      <c r="A572" s="27" t="s">
        <v>636</v>
      </c>
      <c r="B572" s="22" t="s">
        <v>591</v>
      </c>
      <c r="C572" s="23">
        <v>1.37</v>
      </c>
      <c r="D572" s="22">
        <v>250</v>
      </c>
      <c r="E572" s="26">
        <v>56.514000000000003</v>
      </c>
      <c r="F572" s="26">
        <v>1187</v>
      </c>
      <c r="G572" s="27">
        <v>64.8</v>
      </c>
      <c r="H572" s="24">
        <f t="shared" si="63"/>
        <v>8.1334159195090294E-2</v>
      </c>
      <c r="I572" s="25">
        <f t="shared" si="68"/>
        <v>2.0049879435822529E-4</v>
      </c>
      <c r="J572" s="24">
        <f t="shared" si="69"/>
        <v>0.17409363821893376</v>
      </c>
      <c r="K572" s="14">
        <v>1.8</v>
      </c>
      <c r="L572" s="27">
        <v>6.3</v>
      </c>
      <c r="M572" s="27">
        <v>3.25</v>
      </c>
      <c r="N572" s="4">
        <f t="shared" si="51"/>
        <v>1.9384615384615385</v>
      </c>
      <c r="O572" s="20">
        <f t="shared" si="52"/>
        <v>4.5985401459854014</v>
      </c>
      <c r="P572">
        <f t="shared" si="59"/>
        <v>1896.1317515432102</v>
      </c>
    </row>
    <row r="573" spans="1:16">
      <c r="A573" s="27" t="s">
        <v>637</v>
      </c>
      <c r="B573" s="22" t="s">
        <v>591</v>
      </c>
      <c r="C573" s="23">
        <v>1.37</v>
      </c>
      <c r="D573" s="22">
        <v>100</v>
      </c>
      <c r="E573" s="26">
        <v>56.514000000000003</v>
      </c>
      <c r="F573" s="26">
        <v>1187</v>
      </c>
      <c r="G573" s="27">
        <v>64.8</v>
      </c>
      <c r="H573" s="24">
        <f t="shared" si="63"/>
        <v>3.2533663678036111E-2</v>
      </c>
      <c r="I573" s="25">
        <f t="shared" si="68"/>
        <v>3.2079807097316045E-5</v>
      </c>
      <c r="J573" s="24">
        <f t="shared" si="69"/>
        <v>0.17409363821893378</v>
      </c>
      <c r="K573" s="14">
        <v>1.8</v>
      </c>
      <c r="L573" s="27">
        <v>6.18</v>
      </c>
      <c r="M573" s="27">
        <v>3.21</v>
      </c>
      <c r="N573" s="4">
        <f t="shared" si="51"/>
        <v>1.9252336448598131</v>
      </c>
      <c r="O573" s="20">
        <f t="shared" si="52"/>
        <v>4.5109489051094886</v>
      </c>
      <c r="P573">
        <f t="shared" si="59"/>
        <v>1849.7449638888891</v>
      </c>
    </row>
    <row r="574" spans="1:16">
      <c r="A574" s="27" t="s">
        <v>638</v>
      </c>
      <c r="B574" s="22" t="s">
        <v>591</v>
      </c>
      <c r="C574" s="28">
        <v>0.83</v>
      </c>
      <c r="D574" s="22">
        <v>2000</v>
      </c>
      <c r="E574" s="26">
        <v>56.514000000000003</v>
      </c>
      <c r="F574" s="26">
        <v>1187</v>
      </c>
      <c r="G574" s="27">
        <v>64.8</v>
      </c>
      <c r="H574" s="24">
        <f t="shared" si="63"/>
        <v>1.0740028732267346</v>
      </c>
      <c r="I574" s="25">
        <f t="shared" si="68"/>
        <v>5.770575981552916E-2</v>
      </c>
      <c r="J574" s="24">
        <f t="shared" si="69"/>
        <v>0.22366814641871322</v>
      </c>
      <c r="K574" s="14">
        <v>1.27</v>
      </c>
      <c r="L574" s="27">
        <v>5.15</v>
      </c>
      <c r="M574" s="27">
        <v>3.01</v>
      </c>
      <c r="N574" s="4">
        <f t="shared" si="51"/>
        <v>1.7109634551495019</v>
      </c>
      <c r="O574" s="20">
        <f t="shared" si="52"/>
        <v>6.2048192771084345</v>
      </c>
      <c r="P574">
        <f t="shared" si="59"/>
        <v>1626.4277663580247</v>
      </c>
    </row>
    <row r="575" spans="1:16">
      <c r="A575" s="27" t="s">
        <v>639</v>
      </c>
      <c r="B575" s="22" t="s">
        <v>591</v>
      </c>
      <c r="C575" s="28">
        <v>0.83</v>
      </c>
      <c r="D575" s="22">
        <v>1750</v>
      </c>
      <c r="E575" s="26">
        <v>56.514000000000003</v>
      </c>
      <c r="F575" s="26">
        <v>1187</v>
      </c>
      <c r="G575" s="27">
        <v>64.8</v>
      </c>
      <c r="H575" s="24">
        <f t="shared" si="63"/>
        <v>0.93975251407339266</v>
      </c>
      <c r="I575" s="25">
        <f t="shared" si="68"/>
        <v>4.4180972358764503E-2</v>
      </c>
      <c r="J575" s="24">
        <f t="shared" si="69"/>
        <v>0.22366814641871322</v>
      </c>
      <c r="K575" s="14">
        <v>1.27</v>
      </c>
      <c r="L575" s="27">
        <v>4.7699999999999996</v>
      </c>
      <c r="M575" s="27">
        <v>3</v>
      </c>
      <c r="N575" s="4">
        <f t="shared" si="51"/>
        <v>1.5899999999999999</v>
      </c>
      <c r="O575" s="20">
        <f t="shared" si="52"/>
        <v>5.7469879518072284</v>
      </c>
      <c r="P575">
        <f t="shared" si="59"/>
        <v>1615.6388888888891</v>
      </c>
    </row>
    <row r="576" spans="1:16">
      <c r="A576" s="27" t="s">
        <v>640</v>
      </c>
      <c r="B576" s="22" t="s">
        <v>591</v>
      </c>
      <c r="C576" s="28">
        <v>0.83</v>
      </c>
      <c r="D576" s="22">
        <v>1500</v>
      </c>
      <c r="E576" s="26">
        <v>56.514000000000003</v>
      </c>
      <c r="F576" s="26">
        <v>1187</v>
      </c>
      <c r="G576" s="27">
        <v>64.8</v>
      </c>
      <c r="H576" s="24">
        <f t="shared" si="63"/>
        <v>0.80550215492005084</v>
      </c>
      <c r="I576" s="25">
        <f t="shared" si="68"/>
        <v>3.2459489896235143E-2</v>
      </c>
      <c r="J576" s="24">
        <f t="shared" si="69"/>
        <v>0.22366814641871324</v>
      </c>
      <c r="K576" s="14">
        <v>1.27</v>
      </c>
      <c r="L576" s="27">
        <v>4.99</v>
      </c>
      <c r="M576" s="27">
        <v>3</v>
      </c>
      <c r="N576" s="4">
        <f t="shared" si="51"/>
        <v>1.6633333333333333</v>
      </c>
      <c r="O576" s="20">
        <f t="shared" si="52"/>
        <v>6.0120481927710845</v>
      </c>
      <c r="P576">
        <f t="shared" si="59"/>
        <v>1615.6388888888891</v>
      </c>
    </row>
    <row r="577" spans="1:16">
      <c r="A577" s="27" t="s">
        <v>641</v>
      </c>
      <c r="B577" s="22" t="s">
        <v>591</v>
      </c>
      <c r="C577" s="28">
        <v>0.83</v>
      </c>
      <c r="D577" s="22">
        <v>1250</v>
      </c>
      <c r="E577" s="26">
        <v>56.514000000000003</v>
      </c>
      <c r="F577" s="26">
        <v>1187</v>
      </c>
      <c r="G577" s="27">
        <v>64.8</v>
      </c>
      <c r="H577" s="24">
        <f t="shared" si="63"/>
        <v>0.67125179576670901</v>
      </c>
      <c r="I577" s="25">
        <f t="shared" si="68"/>
        <v>2.2541312427941072E-2</v>
      </c>
      <c r="J577" s="24">
        <f t="shared" si="69"/>
        <v>0.22366814641871322</v>
      </c>
      <c r="K577" s="14">
        <v>1.27</v>
      </c>
      <c r="L577" s="27">
        <v>4.97</v>
      </c>
      <c r="M577" s="27">
        <v>3.01</v>
      </c>
      <c r="N577" s="4">
        <f t="shared" si="51"/>
        <v>1.6511627906976745</v>
      </c>
      <c r="O577" s="20">
        <f t="shared" si="52"/>
        <v>5.9879518072289155</v>
      </c>
      <c r="P577">
        <f t="shared" si="59"/>
        <v>1626.4277663580247</v>
      </c>
    </row>
    <row r="578" spans="1:16">
      <c r="A578" s="27" t="s">
        <v>642</v>
      </c>
      <c r="B578" s="22" t="s">
        <v>591</v>
      </c>
      <c r="C578" s="28">
        <v>0.83</v>
      </c>
      <c r="D578" s="22">
        <v>1000</v>
      </c>
      <c r="E578" s="26">
        <v>56.514000000000003</v>
      </c>
      <c r="F578" s="26">
        <v>1187</v>
      </c>
      <c r="G578" s="27">
        <v>64.8</v>
      </c>
      <c r="H578" s="24">
        <f t="shared" si="63"/>
        <v>0.5370014366133673</v>
      </c>
      <c r="I578" s="25">
        <f t="shared" si="68"/>
        <v>1.442643995388229E-2</v>
      </c>
      <c r="J578" s="24">
        <f t="shared" si="69"/>
        <v>0.22366814641871322</v>
      </c>
      <c r="K578" s="14">
        <v>1.27</v>
      </c>
      <c r="L578" s="27">
        <v>4.8899999999999997</v>
      </c>
      <c r="M578" s="27">
        <v>3.01</v>
      </c>
      <c r="N578" s="4">
        <f t="shared" si="51"/>
        <v>1.6245847176079735</v>
      </c>
      <c r="O578" s="20">
        <f t="shared" si="52"/>
        <v>5.8915662650602405</v>
      </c>
      <c r="P578">
        <f t="shared" si="59"/>
        <v>1626.4277663580247</v>
      </c>
    </row>
    <row r="579" spans="1:16">
      <c r="A579" s="27" t="s">
        <v>643</v>
      </c>
      <c r="B579" s="22" t="s">
        <v>591</v>
      </c>
      <c r="C579" s="28">
        <v>0.83</v>
      </c>
      <c r="D579" s="22">
        <v>750</v>
      </c>
      <c r="E579" s="26">
        <v>56.514000000000003</v>
      </c>
      <c r="F579" s="26">
        <v>1187</v>
      </c>
      <c r="G579" s="27">
        <v>64.8</v>
      </c>
      <c r="H579" s="24">
        <f t="shared" si="63"/>
        <v>0.40275107746002542</v>
      </c>
      <c r="I579" s="25">
        <f t="shared" si="68"/>
        <v>8.1148724740587857E-3</v>
      </c>
      <c r="J579" s="24">
        <f t="shared" si="69"/>
        <v>0.22366814641871324</v>
      </c>
      <c r="K579" s="14">
        <v>1.27</v>
      </c>
      <c r="L579" s="27">
        <v>4.93</v>
      </c>
      <c r="M579" s="27">
        <v>3.01</v>
      </c>
      <c r="N579" s="4">
        <f t="shared" si="51"/>
        <v>1.6378737541528239</v>
      </c>
      <c r="O579" s="20">
        <f t="shared" si="52"/>
        <v>5.9397590361445785</v>
      </c>
      <c r="P579">
        <f t="shared" si="59"/>
        <v>1626.4277663580247</v>
      </c>
    </row>
    <row r="580" spans="1:16">
      <c r="A580" s="27" t="s">
        <v>644</v>
      </c>
      <c r="B580" s="22" t="s">
        <v>591</v>
      </c>
      <c r="C580" s="28">
        <v>0.83</v>
      </c>
      <c r="D580" s="22">
        <v>500</v>
      </c>
      <c r="E580" s="26">
        <v>56.514000000000003</v>
      </c>
      <c r="F580" s="26">
        <v>1187</v>
      </c>
      <c r="G580" s="27">
        <v>64.8</v>
      </c>
      <c r="H580" s="24">
        <f t="shared" si="63"/>
        <v>0.26850071830668365</v>
      </c>
      <c r="I580" s="25">
        <f t="shared" si="68"/>
        <v>3.6066099884705725E-3</v>
      </c>
      <c r="J580" s="24">
        <f t="shared" si="69"/>
        <v>0.22366814641871322</v>
      </c>
      <c r="K580" s="14">
        <v>1.27</v>
      </c>
      <c r="L580" s="27">
        <v>4.87</v>
      </c>
      <c r="M580" s="27">
        <v>3</v>
      </c>
      <c r="N580" s="4">
        <f t="shared" si="51"/>
        <v>1.6233333333333333</v>
      </c>
      <c r="O580" s="20">
        <f t="shared" si="52"/>
        <v>5.8674698795180724</v>
      </c>
      <c r="P580">
        <f t="shared" ref="P580:P643" si="70">F580*M580*M580*9.8/G580</f>
        <v>1615.6388888888891</v>
      </c>
    </row>
    <row r="581" spans="1:16">
      <c r="A581" s="27" t="s">
        <v>645</v>
      </c>
      <c r="B581" s="22" t="s">
        <v>591</v>
      </c>
      <c r="C581" s="28">
        <v>0.83</v>
      </c>
      <c r="D581" s="22">
        <v>250</v>
      </c>
      <c r="E581" s="26">
        <v>56.514000000000003</v>
      </c>
      <c r="F581" s="26">
        <v>1187</v>
      </c>
      <c r="G581" s="27">
        <v>64.8</v>
      </c>
      <c r="H581" s="24">
        <f t="shared" si="63"/>
        <v>0.13425035915334183</v>
      </c>
      <c r="I581" s="25">
        <f t="shared" si="68"/>
        <v>9.0165249711764313E-4</v>
      </c>
      <c r="J581" s="24">
        <f t="shared" si="69"/>
        <v>0.22366814641871322</v>
      </c>
      <c r="K581" s="14">
        <v>1.27</v>
      </c>
      <c r="L581" s="27">
        <v>4.79</v>
      </c>
      <c r="M581" s="27">
        <v>3</v>
      </c>
      <c r="N581" s="4">
        <f t="shared" si="51"/>
        <v>1.5966666666666667</v>
      </c>
      <c r="O581" s="20">
        <f t="shared" si="52"/>
        <v>5.7710843373493983</v>
      </c>
      <c r="P581">
        <f t="shared" si="70"/>
        <v>1615.6388888888891</v>
      </c>
    </row>
    <row r="582" spans="1:16">
      <c r="A582" s="27" t="s">
        <v>646</v>
      </c>
      <c r="B582" s="22" t="s">
        <v>591</v>
      </c>
      <c r="C582" s="28">
        <v>0.83</v>
      </c>
      <c r="D582" s="22">
        <v>100</v>
      </c>
      <c r="E582" s="26">
        <v>56.514000000000003</v>
      </c>
      <c r="F582" s="26">
        <v>1187</v>
      </c>
      <c r="G582" s="27">
        <v>64.8</v>
      </c>
      <c r="H582" s="24">
        <f t="shared" si="63"/>
        <v>5.370014366133672E-2</v>
      </c>
      <c r="I582" s="25">
        <f t="shared" si="68"/>
        <v>1.4426439953882288E-4</v>
      </c>
      <c r="J582" s="24">
        <f t="shared" si="69"/>
        <v>0.22366814641871324</v>
      </c>
      <c r="K582" s="14">
        <v>1.27</v>
      </c>
      <c r="L582" s="27">
        <v>4.6500000000000004</v>
      </c>
      <c r="M582" s="27">
        <v>2.97</v>
      </c>
      <c r="N582" s="4">
        <f t="shared" si="51"/>
        <v>1.5656565656565657</v>
      </c>
      <c r="O582" s="20">
        <f t="shared" si="52"/>
        <v>5.6024096385542173</v>
      </c>
      <c r="P582">
        <f t="shared" si="70"/>
        <v>1583.4876750000003</v>
      </c>
    </row>
    <row r="583" spans="1:16">
      <c r="A583" s="27" t="s">
        <v>647</v>
      </c>
      <c r="B583" s="22" t="s">
        <v>591</v>
      </c>
      <c r="C583" s="28">
        <v>0.25</v>
      </c>
      <c r="D583" s="22">
        <v>2000</v>
      </c>
      <c r="E583" s="26">
        <v>56.514000000000003</v>
      </c>
      <c r="F583" s="26">
        <v>1187</v>
      </c>
      <c r="G583" s="27">
        <v>64.8</v>
      </c>
      <c r="H583" s="24">
        <f t="shared" si="63"/>
        <v>3.5656895391127583</v>
      </c>
      <c r="I583" s="25">
        <f t="shared" si="68"/>
        <v>2.1117058104090862</v>
      </c>
      <c r="J583" s="24">
        <f t="shared" si="69"/>
        <v>0.40754275834360176</v>
      </c>
      <c r="K583" s="14">
        <v>0.51</v>
      </c>
      <c r="L583" s="27">
        <v>2.92</v>
      </c>
      <c r="M583" s="27">
        <v>2.42</v>
      </c>
      <c r="N583" s="4">
        <f t="shared" si="51"/>
        <v>1.2066115702479339</v>
      </c>
      <c r="O583" s="20">
        <f t="shared" si="52"/>
        <v>11.68</v>
      </c>
      <c r="P583">
        <f t="shared" si="70"/>
        <v>1051.3141765432101</v>
      </c>
    </row>
    <row r="584" spans="1:16">
      <c r="A584" s="27" t="s">
        <v>648</v>
      </c>
      <c r="B584" s="22" t="s">
        <v>591</v>
      </c>
      <c r="C584" s="28">
        <v>0.25</v>
      </c>
      <c r="D584" s="22">
        <v>1750</v>
      </c>
      <c r="E584" s="26">
        <v>56.514000000000003</v>
      </c>
      <c r="F584" s="26">
        <v>1187</v>
      </c>
      <c r="G584" s="27">
        <v>64.8</v>
      </c>
      <c r="H584" s="24">
        <f t="shared" si="63"/>
        <v>3.1199783467236633</v>
      </c>
      <c r="I584" s="25">
        <f t="shared" si="68"/>
        <v>1.6167747610944563</v>
      </c>
      <c r="J584" s="24">
        <f t="shared" si="69"/>
        <v>0.40754275834360176</v>
      </c>
      <c r="K584" s="14">
        <v>0.51</v>
      </c>
      <c r="L584" s="27">
        <v>2.88</v>
      </c>
      <c r="M584" s="27">
        <v>2.38</v>
      </c>
      <c r="N584" s="4">
        <f t="shared" si="51"/>
        <v>1.2100840336134453</v>
      </c>
      <c r="O584" s="20">
        <f t="shared" si="52"/>
        <v>11.52</v>
      </c>
      <c r="P584">
        <f t="shared" si="70"/>
        <v>1016.8472135802469</v>
      </c>
    </row>
    <row r="585" spans="1:16">
      <c r="A585" s="27" t="s">
        <v>649</v>
      </c>
      <c r="B585" s="22" t="s">
        <v>591</v>
      </c>
      <c r="C585" s="28">
        <v>0.25</v>
      </c>
      <c r="D585" s="22">
        <v>1500</v>
      </c>
      <c r="E585" s="26">
        <v>56.514000000000003</v>
      </c>
      <c r="F585" s="26">
        <v>1187</v>
      </c>
      <c r="G585" s="27">
        <v>64.8</v>
      </c>
      <c r="H585" s="24">
        <f t="shared" si="63"/>
        <v>2.6742671543345686</v>
      </c>
      <c r="I585" s="25">
        <f t="shared" si="68"/>
        <v>1.1878345183551107</v>
      </c>
      <c r="J585" s="24">
        <f t="shared" si="69"/>
        <v>0.40754275834360176</v>
      </c>
      <c r="K585" s="14">
        <v>0.51</v>
      </c>
      <c r="L585" s="27">
        <v>2.87</v>
      </c>
      <c r="M585" s="27">
        <v>2.37</v>
      </c>
      <c r="N585" s="4">
        <f t="shared" si="51"/>
        <v>1.2109704641350212</v>
      </c>
      <c r="O585" s="20">
        <f t="shared" si="52"/>
        <v>11.48</v>
      </c>
      <c r="P585">
        <f t="shared" si="70"/>
        <v>1008.3202305555558</v>
      </c>
    </row>
    <row r="586" spans="1:16">
      <c r="A586" s="27" t="s">
        <v>650</v>
      </c>
      <c r="B586" s="22" t="s">
        <v>591</v>
      </c>
      <c r="C586" s="28">
        <v>0.25</v>
      </c>
      <c r="D586" s="22">
        <v>1250</v>
      </c>
      <c r="E586" s="26">
        <v>56.514000000000003</v>
      </c>
      <c r="F586" s="26">
        <v>1187</v>
      </c>
      <c r="G586" s="27">
        <v>64.8</v>
      </c>
      <c r="H586" s="24">
        <f t="shared" si="63"/>
        <v>2.228555961945474</v>
      </c>
      <c r="I586" s="25">
        <f t="shared" si="68"/>
        <v>0.82488508219104917</v>
      </c>
      <c r="J586" s="24">
        <f t="shared" si="69"/>
        <v>0.40754275834360171</v>
      </c>
      <c r="K586" s="14">
        <v>0.51</v>
      </c>
      <c r="L586" s="27">
        <v>2.96</v>
      </c>
      <c r="M586" s="27">
        <v>2.41</v>
      </c>
      <c r="N586" s="4">
        <f t="shared" si="51"/>
        <v>1.2282157676348546</v>
      </c>
      <c r="O586" s="20">
        <f t="shared" si="52"/>
        <v>11.84</v>
      </c>
      <c r="P586">
        <f t="shared" si="70"/>
        <v>1042.6435811728397</v>
      </c>
    </row>
    <row r="587" spans="1:16">
      <c r="A587" s="27" t="s">
        <v>651</v>
      </c>
      <c r="B587" s="22" t="s">
        <v>591</v>
      </c>
      <c r="C587" s="28">
        <v>0.25</v>
      </c>
      <c r="D587" s="22">
        <v>1000</v>
      </c>
      <c r="E587" s="26">
        <v>56.514000000000003</v>
      </c>
      <c r="F587" s="26">
        <v>1187</v>
      </c>
      <c r="G587" s="27">
        <v>64.8</v>
      </c>
      <c r="H587" s="24">
        <f t="shared" si="63"/>
        <v>1.7828447695563792</v>
      </c>
      <c r="I587" s="25">
        <f t="shared" si="68"/>
        <v>0.52792645260227156</v>
      </c>
      <c r="J587" s="24">
        <f t="shared" si="69"/>
        <v>0.40754275834360176</v>
      </c>
      <c r="K587" s="14">
        <v>0.51</v>
      </c>
      <c r="L587" s="27">
        <v>2.9</v>
      </c>
      <c r="M587" s="27">
        <v>2.37</v>
      </c>
      <c r="N587" s="4">
        <f t="shared" si="51"/>
        <v>1.2236286919831223</v>
      </c>
      <c r="O587" s="20">
        <f t="shared" si="52"/>
        <v>11.6</v>
      </c>
      <c r="P587">
        <f t="shared" si="70"/>
        <v>1008.3202305555558</v>
      </c>
    </row>
    <row r="588" spans="1:16">
      <c r="A588" s="27" t="s">
        <v>652</v>
      </c>
      <c r="B588" s="22" t="s">
        <v>591</v>
      </c>
      <c r="C588" s="28">
        <v>0.25</v>
      </c>
      <c r="D588" s="22">
        <v>750</v>
      </c>
      <c r="E588" s="26">
        <v>56.514000000000003</v>
      </c>
      <c r="F588" s="26">
        <v>1187</v>
      </c>
      <c r="G588" s="27">
        <v>64.8</v>
      </c>
      <c r="H588" s="24">
        <f t="shared" si="63"/>
        <v>1.3371335771672843</v>
      </c>
      <c r="I588" s="25">
        <f t="shared" si="68"/>
        <v>0.29695862958877767</v>
      </c>
      <c r="J588" s="24">
        <f t="shared" si="69"/>
        <v>0.40754275834360176</v>
      </c>
      <c r="K588" s="14">
        <v>0.51</v>
      </c>
      <c r="L588" s="27">
        <v>2.89</v>
      </c>
      <c r="M588" s="27">
        <v>2.37</v>
      </c>
      <c r="N588" s="4">
        <f t="shared" si="51"/>
        <v>1.2194092827004219</v>
      </c>
      <c r="O588" s="20">
        <f t="shared" si="52"/>
        <v>11.56</v>
      </c>
      <c r="P588">
        <f t="shared" si="70"/>
        <v>1008.3202305555558</v>
      </c>
    </row>
    <row r="589" spans="1:16">
      <c r="A589" s="27" t="s">
        <v>653</v>
      </c>
      <c r="B589" s="22" t="s">
        <v>591</v>
      </c>
      <c r="C589" s="28">
        <v>0.25</v>
      </c>
      <c r="D589" s="22">
        <v>500</v>
      </c>
      <c r="E589" s="26">
        <v>56.514000000000003</v>
      </c>
      <c r="F589" s="26">
        <v>1187</v>
      </c>
      <c r="G589" s="27">
        <v>64.8</v>
      </c>
      <c r="H589" s="24">
        <f t="shared" si="63"/>
        <v>0.89142238477818958</v>
      </c>
      <c r="I589" s="25">
        <f t="shared" si="68"/>
        <v>0.13198161315056789</v>
      </c>
      <c r="J589" s="24">
        <f t="shared" si="69"/>
        <v>0.40754275834360176</v>
      </c>
      <c r="K589" s="14">
        <v>0.51</v>
      </c>
      <c r="L589" s="27">
        <v>2.9</v>
      </c>
      <c r="M589" s="27">
        <v>2.37</v>
      </c>
      <c r="N589" s="4">
        <f t="shared" si="51"/>
        <v>1.2236286919831223</v>
      </c>
      <c r="O589" s="20">
        <f t="shared" si="52"/>
        <v>11.6</v>
      </c>
      <c r="P589">
        <f t="shared" si="70"/>
        <v>1008.3202305555558</v>
      </c>
    </row>
    <row r="590" spans="1:16">
      <c r="A590" s="27" t="s">
        <v>654</v>
      </c>
      <c r="B590" s="22" t="s">
        <v>591</v>
      </c>
      <c r="C590" s="28">
        <v>0.25</v>
      </c>
      <c r="D590" s="22">
        <v>250</v>
      </c>
      <c r="E590" s="26">
        <v>56.514000000000003</v>
      </c>
      <c r="F590" s="26">
        <v>1187</v>
      </c>
      <c r="G590" s="27">
        <v>64.8</v>
      </c>
      <c r="H590" s="24">
        <f t="shared" si="63"/>
        <v>0.44571119238909479</v>
      </c>
      <c r="I590" s="25">
        <f t="shared" si="68"/>
        <v>3.2995403287641972E-2</v>
      </c>
      <c r="J590" s="24">
        <f t="shared" si="69"/>
        <v>0.40754275834360176</v>
      </c>
      <c r="K590" s="14">
        <v>0.51</v>
      </c>
      <c r="L590" s="27">
        <v>2.9</v>
      </c>
      <c r="M590" s="27">
        <v>2.36</v>
      </c>
      <c r="N590" s="4">
        <f t="shared" si="51"/>
        <v>1.228813559322034</v>
      </c>
      <c r="O590" s="20">
        <f t="shared" si="52"/>
        <v>11.6</v>
      </c>
      <c r="P590">
        <f t="shared" si="70"/>
        <v>999.82915061728397</v>
      </c>
    </row>
    <row r="591" spans="1:16">
      <c r="A591" s="27" t="s">
        <v>655</v>
      </c>
      <c r="B591" s="22" t="s">
        <v>591</v>
      </c>
      <c r="C591" s="28">
        <v>0.25</v>
      </c>
      <c r="D591" s="22">
        <v>100</v>
      </c>
      <c r="E591" s="26">
        <v>56.514000000000003</v>
      </c>
      <c r="F591" s="26">
        <v>1187</v>
      </c>
      <c r="G591" s="27">
        <v>64.8</v>
      </c>
      <c r="H591" s="24">
        <f t="shared" si="63"/>
        <v>0.1782844769556379</v>
      </c>
      <c r="I591" s="25">
        <f t="shared" si="68"/>
        <v>5.2792645260227155E-3</v>
      </c>
      <c r="J591" s="24">
        <f t="shared" si="69"/>
        <v>0.40754275834360182</v>
      </c>
      <c r="K591" s="14">
        <v>0.51</v>
      </c>
      <c r="L591" s="27">
        <v>2.91</v>
      </c>
      <c r="M591" s="27">
        <v>2.36</v>
      </c>
      <c r="N591" s="4">
        <f t="shared" si="51"/>
        <v>1.2330508474576272</v>
      </c>
      <c r="O591" s="20">
        <f t="shared" si="52"/>
        <v>11.64</v>
      </c>
      <c r="P591">
        <f t="shared" si="70"/>
        <v>999.82915061728397</v>
      </c>
    </row>
    <row r="592" spans="1:16">
      <c r="A592" s="27" t="s">
        <v>656</v>
      </c>
      <c r="B592" s="22" t="s">
        <v>591</v>
      </c>
      <c r="C592" s="28">
        <v>0.1</v>
      </c>
      <c r="D592" s="22">
        <v>2000</v>
      </c>
      <c r="E592" s="26">
        <v>56.514000000000003</v>
      </c>
      <c r="F592" s="26">
        <v>1187</v>
      </c>
      <c r="G592" s="27">
        <v>64.8</v>
      </c>
      <c r="H592" s="24">
        <f t="shared" ref="H592:H657" si="71">(4/60*F592*D592*10^(-9))/(PI()*C592*E592*10^(-6))</f>
        <v>8.914223847781896</v>
      </c>
      <c r="I592" s="25">
        <f t="shared" si="68"/>
        <v>32.99540328764197</v>
      </c>
      <c r="J592" s="24">
        <f t="shared" si="69"/>
        <v>0.64438168013668606</v>
      </c>
      <c r="K592" s="14">
        <v>0.24</v>
      </c>
      <c r="L592" s="27">
        <v>2</v>
      </c>
      <c r="M592" s="27">
        <v>1.77</v>
      </c>
      <c r="N592" s="4">
        <f t="shared" si="51"/>
        <v>1.1299435028248588</v>
      </c>
      <c r="O592" s="20">
        <f t="shared" si="52"/>
        <v>20</v>
      </c>
      <c r="P592">
        <f t="shared" si="70"/>
        <v>562.40389722222233</v>
      </c>
    </row>
    <row r="593" spans="1:16">
      <c r="A593" s="27" t="s">
        <v>657</v>
      </c>
      <c r="B593" s="22" t="s">
        <v>591</v>
      </c>
      <c r="C593" s="28">
        <v>0.1</v>
      </c>
      <c r="D593" s="22">
        <v>1750</v>
      </c>
      <c r="E593" s="26">
        <v>56.514000000000003</v>
      </c>
      <c r="F593" s="26">
        <v>1187</v>
      </c>
      <c r="G593" s="27">
        <v>64.8</v>
      </c>
      <c r="H593" s="24">
        <f t="shared" si="71"/>
        <v>7.7999458668091579</v>
      </c>
      <c r="I593" s="25">
        <f t="shared" si="68"/>
        <v>25.262105642100881</v>
      </c>
      <c r="J593" s="24">
        <f t="shared" si="69"/>
        <v>0.64438168013668617</v>
      </c>
      <c r="K593" s="14">
        <v>0.24</v>
      </c>
      <c r="L593" s="27">
        <v>2.0699999999999998</v>
      </c>
      <c r="M593" s="27">
        <v>1.83</v>
      </c>
      <c r="N593" s="4">
        <f t="shared" si="51"/>
        <v>1.1311475409836065</v>
      </c>
      <c r="O593" s="20">
        <f t="shared" si="52"/>
        <v>20.699999999999996</v>
      </c>
      <c r="P593">
        <f t="shared" si="70"/>
        <v>601.1792305555557</v>
      </c>
    </row>
    <row r="594" spans="1:16">
      <c r="A594" s="27" t="s">
        <v>658</v>
      </c>
      <c r="B594" s="22" t="s">
        <v>591</v>
      </c>
      <c r="C594" s="28">
        <v>0.1</v>
      </c>
      <c r="D594" s="22">
        <v>1500</v>
      </c>
      <c r="E594" s="26">
        <v>56.514000000000003</v>
      </c>
      <c r="F594" s="26">
        <v>1187</v>
      </c>
      <c r="G594" s="27">
        <v>64.8</v>
      </c>
      <c r="H594" s="24">
        <f t="shared" si="71"/>
        <v>6.6856678858364207</v>
      </c>
      <c r="I594" s="25">
        <f t="shared" si="68"/>
        <v>18.559914349298605</v>
      </c>
      <c r="J594" s="24">
        <f t="shared" si="69"/>
        <v>0.64438168013668617</v>
      </c>
      <c r="K594" s="14">
        <v>0.24</v>
      </c>
      <c r="L594" s="27">
        <v>1.99</v>
      </c>
      <c r="M594" s="27">
        <v>1.76</v>
      </c>
      <c r="N594" s="4">
        <f t="shared" si="51"/>
        <v>1.1306818181818181</v>
      </c>
      <c r="O594" s="20">
        <f t="shared" si="52"/>
        <v>19.899999999999999</v>
      </c>
      <c r="P594">
        <f t="shared" si="70"/>
        <v>556.06700246913579</v>
      </c>
    </row>
    <row r="595" spans="1:16">
      <c r="A595" s="27" t="s">
        <v>659</v>
      </c>
      <c r="B595" s="22" t="s">
        <v>591</v>
      </c>
      <c r="C595" s="28">
        <v>0.1</v>
      </c>
      <c r="D595" s="22">
        <v>1250</v>
      </c>
      <c r="E595" s="26">
        <v>56.514000000000003</v>
      </c>
      <c r="F595" s="26">
        <v>1187</v>
      </c>
      <c r="G595" s="27">
        <v>64.8</v>
      </c>
      <c r="H595" s="24">
        <f t="shared" si="71"/>
        <v>5.5713899048636844</v>
      </c>
      <c r="I595" s="25">
        <f t="shared" si="68"/>
        <v>12.888829409235143</v>
      </c>
      <c r="J595" s="24">
        <f t="shared" si="69"/>
        <v>0.64438168013668617</v>
      </c>
      <c r="K595" s="14">
        <v>0.24</v>
      </c>
      <c r="L595" s="27">
        <v>2.0699999999999998</v>
      </c>
      <c r="M595" s="27">
        <v>1.83</v>
      </c>
      <c r="N595" s="4">
        <f t="shared" si="51"/>
        <v>1.1311475409836065</v>
      </c>
      <c r="O595" s="20">
        <f t="shared" si="52"/>
        <v>20.699999999999996</v>
      </c>
      <c r="P595">
        <f t="shared" si="70"/>
        <v>601.1792305555557</v>
      </c>
    </row>
    <row r="596" spans="1:16">
      <c r="A596" s="27" t="s">
        <v>660</v>
      </c>
      <c r="B596" s="22" t="s">
        <v>591</v>
      </c>
      <c r="C596" s="28">
        <v>0.1</v>
      </c>
      <c r="D596" s="22">
        <v>1000</v>
      </c>
      <c r="E596" s="26">
        <v>56.514000000000003</v>
      </c>
      <c r="F596" s="26">
        <v>1187</v>
      </c>
      <c r="G596" s="27">
        <v>64.8</v>
      </c>
      <c r="H596" s="24">
        <f t="shared" si="71"/>
        <v>4.457111923890948</v>
      </c>
      <c r="I596" s="25">
        <f t="shared" si="68"/>
        <v>8.2488508219104926</v>
      </c>
      <c r="J596" s="24">
        <f t="shared" si="69"/>
        <v>0.64438168013668606</v>
      </c>
      <c r="K596" s="14">
        <v>0.24</v>
      </c>
      <c r="L596" s="27">
        <v>2.08</v>
      </c>
      <c r="M596" s="27">
        <v>1.85</v>
      </c>
      <c r="N596" s="4">
        <f t="shared" si="51"/>
        <v>1.1243243243243244</v>
      </c>
      <c r="O596" s="20">
        <f t="shared" si="52"/>
        <v>20.8</v>
      </c>
      <c r="P596">
        <f t="shared" si="70"/>
        <v>614.39156635802476</v>
      </c>
    </row>
    <row r="597" spans="1:16">
      <c r="A597" s="27" t="s">
        <v>661</v>
      </c>
      <c r="B597" s="22" t="s">
        <v>591</v>
      </c>
      <c r="C597" s="28">
        <v>0.1</v>
      </c>
      <c r="D597" s="22">
        <v>750</v>
      </c>
      <c r="E597" s="26">
        <v>56.514000000000003</v>
      </c>
      <c r="F597" s="26">
        <v>1187</v>
      </c>
      <c r="G597" s="27">
        <v>64.8</v>
      </c>
      <c r="H597" s="24">
        <f t="shared" si="71"/>
        <v>3.3428339429182103</v>
      </c>
      <c r="I597" s="25">
        <f t="shared" si="68"/>
        <v>4.6399785873246513</v>
      </c>
      <c r="J597" s="24">
        <f t="shared" si="69"/>
        <v>0.64438168013668617</v>
      </c>
      <c r="K597" s="14">
        <v>0.24</v>
      </c>
      <c r="L597" s="27">
        <v>2.09</v>
      </c>
      <c r="M597" s="27">
        <v>1.85</v>
      </c>
      <c r="N597" s="4">
        <f t="shared" si="51"/>
        <v>1.1297297297297295</v>
      </c>
      <c r="O597" s="20">
        <f t="shared" si="52"/>
        <v>20.9</v>
      </c>
      <c r="P597">
        <f t="shared" si="70"/>
        <v>614.39156635802476</v>
      </c>
    </row>
    <row r="598" spans="1:16">
      <c r="A598" s="27" t="s">
        <v>662</v>
      </c>
      <c r="B598" s="22" t="s">
        <v>591</v>
      </c>
      <c r="C598" s="28">
        <v>0.1</v>
      </c>
      <c r="D598" s="22">
        <v>500</v>
      </c>
      <c r="E598" s="26">
        <v>56.514000000000003</v>
      </c>
      <c r="F598" s="26">
        <v>1187</v>
      </c>
      <c r="G598" s="27">
        <v>64.8</v>
      </c>
      <c r="H598" s="24">
        <f t="shared" si="71"/>
        <v>2.228555961945474</v>
      </c>
      <c r="I598" s="25">
        <f t="shared" si="68"/>
        <v>2.0622127054776231</v>
      </c>
      <c r="J598" s="24">
        <f t="shared" si="69"/>
        <v>0.64438168013668606</v>
      </c>
      <c r="K598" s="14">
        <v>0.24</v>
      </c>
      <c r="L598" s="27">
        <v>2.02</v>
      </c>
      <c r="M598" s="27">
        <v>1.78</v>
      </c>
      <c r="N598" s="4">
        <f t="shared" si="51"/>
        <v>1.1348314606741572</v>
      </c>
      <c r="O598" s="20">
        <f t="shared" si="52"/>
        <v>20.2</v>
      </c>
      <c r="P598">
        <f t="shared" si="70"/>
        <v>568.77669506172856</v>
      </c>
    </row>
    <row r="599" spans="1:16">
      <c r="A599" s="27" t="s">
        <v>663</v>
      </c>
      <c r="B599" s="22" t="s">
        <v>591</v>
      </c>
      <c r="C599" s="28">
        <v>0.1</v>
      </c>
      <c r="D599" s="22">
        <v>250</v>
      </c>
      <c r="E599" s="26">
        <v>56.514000000000003</v>
      </c>
      <c r="F599" s="26">
        <v>1187</v>
      </c>
      <c r="G599" s="27">
        <v>64.8</v>
      </c>
      <c r="H599" s="24">
        <f t="shared" si="71"/>
        <v>1.114277980972737</v>
      </c>
      <c r="I599" s="25">
        <f t="shared" si="68"/>
        <v>0.51555317636940579</v>
      </c>
      <c r="J599" s="24">
        <f t="shared" si="69"/>
        <v>0.64438168013668606</v>
      </c>
      <c r="K599" s="14">
        <v>0.24</v>
      </c>
      <c r="L599" s="27">
        <v>2.08</v>
      </c>
      <c r="M599" s="27">
        <v>1.83</v>
      </c>
      <c r="N599" s="4">
        <f t="shared" si="51"/>
        <v>1.1366120218579234</v>
      </c>
      <c r="O599" s="20">
        <f t="shared" si="52"/>
        <v>20.8</v>
      </c>
      <c r="P599">
        <f t="shared" si="70"/>
        <v>601.1792305555557</v>
      </c>
    </row>
    <row r="600" spans="1:16">
      <c r="A600" s="27" t="s">
        <v>664</v>
      </c>
      <c r="B600" s="22" t="s">
        <v>591</v>
      </c>
      <c r="C600" s="28">
        <v>0.1</v>
      </c>
      <c r="D600" s="22">
        <v>100</v>
      </c>
      <c r="E600" s="26">
        <v>56.514000000000003</v>
      </c>
      <c r="F600" s="26">
        <v>1187</v>
      </c>
      <c r="G600" s="27">
        <v>64.8</v>
      </c>
      <c r="H600" s="24">
        <f t="shared" si="71"/>
        <v>0.44571119238909468</v>
      </c>
      <c r="I600" s="25">
        <f t="shared" si="68"/>
        <v>8.2488508219104917E-2</v>
      </c>
      <c r="J600" s="24">
        <f t="shared" si="69"/>
        <v>0.64438168013668617</v>
      </c>
      <c r="K600" s="14">
        <v>0.24</v>
      </c>
      <c r="L600" s="27">
        <v>2.02</v>
      </c>
      <c r="M600" s="27">
        <v>1.78</v>
      </c>
      <c r="N600" s="4">
        <f t="shared" si="51"/>
        <v>1.1348314606741572</v>
      </c>
      <c r="O600" s="20">
        <f t="shared" si="52"/>
        <v>20.2</v>
      </c>
      <c r="P600">
        <f t="shared" si="70"/>
        <v>568.77669506172856</v>
      </c>
    </row>
    <row r="601" spans="1:16">
      <c r="A601" s="27" t="s">
        <v>674</v>
      </c>
      <c r="B601" t="s">
        <v>747</v>
      </c>
      <c r="C601" s="23">
        <v>2.38</v>
      </c>
      <c r="D601" s="22">
        <v>2000</v>
      </c>
      <c r="E601" s="37">
        <v>48.6</v>
      </c>
      <c r="F601">
        <v>960</v>
      </c>
      <c r="G601" s="27">
        <v>20.8</v>
      </c>
      <c r="H601" s="24">
        <f t="shared" si="71"/>
        <v>0.35224664930253152</v>
      </c>
      <c r="I601" s="25">
        <f t="shared" si="68"/>
        <v>6.1667274548033802E-3</v>
      </c>
      <c r="J601" s="24">
        <f t="shared" si="69"/>
        <v>0.22293615509863271</v>
      </c>
      <c r="K601" s="14">
        <v>2.8</v>
      </c>
      <c r="L601" s="27">
        <v>18.13</v>
      </c>
      <c r="M601" s="27">
        <v>2.75</v>
      </c>
      <c r="N601" s="4">
        <f t="shared" si="51"/>
        <v>6.5927272727272728</v>
      </c>
      <c r="O601" s="20">
        <f t="shared" si="52"/>
        <v>7.617647058823529</v>
      </c>
      <c r="P601">
        <f t="shared" si="70"/>
        <v>3420.5769230769229</v>
      </c>
    </row>
    <row r="602" spans="1:16">
      <c r="A602" s="27" t="s">
        <v>675</v>
      </c>
      <c r="B602" t="s">
        <v>747</v>
      </c>
      <c r="C602" s="23">
        <v>2.38</v>
      </c>
      <c r="D602" s="22">
        <v>1750</v>
      </c>
      <c r="E602" s="37">
        <v>48.6</v>
      </c>
      <c r="F602">
        <v>960</v>
      </c>
      <c r="G602" s="27">
        <v>20.8</v>
      </c>
      <c r="H602" s="24">
        <f t="shared" si="71"/>
        <v>0.30821581813971505</v>
      </c>
      <c r="I602" s="25">
        <f t="shared" si="68"/>
        <v>4.7214007075838367E-3</v>
      </c>
      <c r="J602" s="24">
        <f t="shared" si="69"/>
        <v>0.22293615509863268</v>
      </c>
      <c r="K602" s="14">
        <v>2.8</v>
      </c>
      <c r="L602" s="27">
        <v>18.73</v>
      </c>
      <c r="M602" s="27">
        <v>2.75</v>
      </c>
      <c r="N602" s="4">
        <f t="shared" si="51"/>
        <v>6.8109090909090915</v>
      </c>
      <c r="O602" s="20">
        <f t="shared" si="52"/>
        <v>7.8697478991596643</v>
      </c>
      <c r="P602">
        <f t="shared" si="70"/>
        <v>3420.5769230769229</v>
      </c>
    </row>
    <row r="603" spans="1:16">
      <c r="A603" s="27" t="s">
        <v>676</v>
      </c>
      <c r="B603" t="s">
        <v>746</v>
      </c>
      <c r="C603" s="23">
        <v>2.38</v>
      </c>
      <c r="D603" s="22">
        <v>1500</v>
      </c>
      <c r="E603" s="37">
        <v>48.6</v>
      </c>
      <c r="F603">
        <v>960</v>
      </c>
      <c r="G603" s="27">
        <v>20.8</v>
      </c>
      <c r="H603" s="24">
        <f t="shared" si="71"/>
        <v>0.26418498697689857</v>
      </c>
      <c r="I603" s="25">
        <f t="shared" si="68"/>
        <v>3.4687841933269E-3</v>
      </c>
      <c r="J603" s="24">
        <f t="shared" si="69"/>
        <v>0.22293615509863271</v>
      </c>
      <c r="K603" s="14">
        <v>2.8</v>
      </c>
      <c r="L603" s="27">
        <v>18.75</v>
      </c>
      <c r="M603" s="27">
        <v>2.76</v>
      </c>
      <c r="N603" s="4">
        <f t="shared" si="51"/>
        <v>6.7934782608695654</v>
      </c>
      <c r="O603" s="20">
        <f t="shared" si="52"/>
        <v>7.8781512605042021</v>
      </c>
      <c r="P603">
        <f t="shared" si="70"/>
        <v>3445.4990769230767</v>
      </c>
    </row>
    <row r="604" spans="1:16">
      <c r="A604" s="27" t="s">
        <v>677</v>
      </c>
      <c r="B604" t="s">
        <v>746</v>
      </c>
      <c r="C604" s="23">
        <v>2.38</v>
      </c>
      <c r="D604" s="22">
        <v>1250</v>
      </c>
      <c r="E604" s="37">
        <v>48.6</v>
      </c>
      <c r="F604">
        <v>960</v>
      </c>
      <c r="G604" s="27">
        <v>20.8</v>
      </c>
      <c r="H604" s="24">
        <f t="shared" si="71"/>
        <v>0.22015415581408218</v>
      </c>
      <c r="I604" s="25">
        <f t="shared" si="68"/>
        <v>2.4088779120325695E-3</v>
      </c>
      <c r="J604" s="24">
        <f t="shared" si="69"/>
        <v>0.22293615509863268</v>
      </c>
      <c r="K604" s="14">
        <v>2.8</v>
      </c>
      <c r="L604" s="27">
        <v>18.149999999999999</v>
      </c>
      <c r="M604" s="27">
        <v>2.73</v>
      </c>
      <c r="N604" s="4">
        <f t="shared" si="51"/>
        <v>6.6483516483516478</v>
      </c>
      <c r="O604" s="20">
        <f t="shared" si="52"/>
        <v>7.6260504201680668</v>
      </c>
      <c r="P604">
        <f t="shared" si="70"/>
        <v>3371.0040000000004</v>
      </c>
    </row>
    <row r="605" spans="1:16">
      <c r="A605" s="27" t="s">
        <v>678</v>
      </c>
      <c r="B605" t="s">
        <v>746</v>
      </c>
      <c r="C605" s="23">
        <v>2.38</v>
      </c>
      <c r="D605" s="22">
        <v>1000</v>
      </c>
      <c r="E605" s="37">
        <v>48.6</v>
      </c>
      <c r="F605">
        <v>960</v>
      </c>
      <c r="G605" s="27">
        <v>20.8</v>
      </c>
      <c r="H605" s="24">
        <f t="shared" si="71"/>
        <v>0.17612332465126576</v>
      </c>
      <c r="I605" s="25">
        <f t="shared" si="68"/>
        <v>1.541681863700845E-3</v>
      </c>
      <c r="J605" s="24">
        <f t="shared" si="69"/>
        <v>0.22293615509863271</v>
      </c>
      <c r="K605" s="14">
        <v>2.8</v>
      </c>
      <c r="L605" s="27">
        <v>17.670000000000002</v>
      </c>
      <c r="M605" s="27">
        <v>2.73</v>
      </c>
      <c r="N605" s="4">
        <f t="shared" si="51"/>
        <v>6.4725274725274735</v>
      </c>
      <c r="O605" s="20">
        <f t="shared" si="52"/>
        <v>7.4243697478991608</v>
      </c>
      <c r="P605">
        <f t="shared" si="70"/>
        <v>3371.0040000000004</v>
      </c>
    </row>
    <row r="606" spans="1:16">
      <c r="A606" s="27" t="s">
        <v>679</v>
      </c>
      <c r="B606" t="s">
        <v>746</v>
      </c>
      <c r="C606" s="23">
        <v>2.38</v>
      </c>
      <c r="D606" s="22">
        <v>750</v>
      </c>
      <c r="E606" s="37">
        <v>48.6</v>
      </c>
      <c r="F606">
        <v>960</v>
      </c>
      <c r="G606" s="27">
        <v>20.8</v>
      </c>
      <c r="H606" s="24">
        <f t="shared" si="71"/>
        <v>0.13209249348844929</v>
      </c>
      <c r="I606" s="25">
        <f t="shared" si="68"/>
        <v>8.67196048331725E-4</v>
      </c>
      <c r="J606" s="24">
        <f t="shared" si="69"/>
        <v>0.22293615509863271</v>
      </c>
      <c r="K606" s="14">
        <v>2.8</v>
      </c>
      <c r="L606" s="27">
        <v>17.75</v>
      </c>
      <c r="M606" s="27">
        <v>2.72</v>
      </c>
      <c r="N606" s="4">
        <f t="shared" si="51"/>
        <v>6.5257352941176467</v>
      </c>
      <c r="O606" s="20">
        <f t="shared" si="52"/>
        <v>7.4579831932773111</v>
      </c>
      <c r="P606">
        <f t="shared" si="70"/>
        <v>3346.3532307692308</v>
      </c>
    </row>
    <row r="607" spans="1:16">
      <c r="A607" s="27" t="s">
        <v>680</v>
      </c>
      <c r="B607" t="s">
        <v>746</v>
      </c>
      <c r="C607" s="23">
        <v>2.38</v>
      </c>
      <c r="D607" s="22">
        <v>500</v>
      </c>
      <c r="E607" s="37">
        <v>48.6</v>
      </c>
      <c r="F607">
        <v>960</v>
      </c>
      <c r="G607" s="27">
        <v>20.8</v>
      </c>
      <c r="H607" s="24">
        <f t="shared" si="71"/>
        <v>8.8061662325632881E-2</v>
      </c>
      <c r="I607" s="25">
        <f t="shared" si="68"/>
        <v>3.8542046592521126E-4</v>
      </c>
      <c r="J607" s="24">
        <f t="shared" si="69"/>
        <v>0.22293615509863271</v>
      </c>
      <c r="K607" s="14">
        <v>2.8</v>
      </c>
      <c r="L607" s="27">
        <v>16.89</v>
      </c>
      <c r="M607" s="27">
        <v>2.72</v>
      </c>
      <c r="N607" s="4">
        <f t="shared" si="51"/>
        <v>6.2095588235294112</v>
      </c>
      <c r="O607" s="20">
        <f t="shared" si="52"/>
        <v>7.0966386554621854</v>
      </c>
      <c r="P607">
        <f t="shared" si="70"/>
        <v>3346.3532307692308</v>
      </c>
    </row>
    <row r="608" spans="1:16">
      <c r="A608" s="27" t="s">
        <v>681</v>
      </c>
      <c r="B608" t="s">
        <v>746</v>
      </c>
      <c r="C608" s="23">
        <v>2.38</v>
      </c>
      <c r="D608" s="22">
        <v>250</v>
      </c>
      <c r="E608" s="37">
        <v>48.6</v>
      </c>
      <c r="F608">
        <v>960</v>
      </c>
      <c r="G608" s="27">
        <v>20.8</v>
      </c>
      <c r="H608" s="24">
        <f t="shared" si="71"/>
        <v>4.403083116281644E-2</v>
      </c>
      <c r="I608" s="25">
        <f t="shared" si="68"/>
        <v>9.6355116481302815E-5</v>
      </c>
      <c r="J608" s="24">
        <f t="shared" si="69"/>
        <v>0.22293615509863271</v>
      </c>
      <c r="K608" s="14">
        <v>2.8</v>
      </c>
      <c r="L608" s="27">
        <v>16.34</v>
      </c>
      <c r="M608" s="27">
        <v>2.72</v>
      </c>
      <c r="N608" s="4">
        <f t="shared" si="51"/>
        <v>6.0073529411764701</v>
      </c>
      <c r="O608" s="20">
        <f t="shared" si="52"/>
        <v>6.8655462184873954</v>
      </c>
      <c r="P608">
        <f t="shared" si="70"/>
        <v>3346.3532307692308</v>
      </c>
    </row>
    <row r="609" spans="1:16">
      <c r="A609" s="27" t="s">
        <v>682</v>
      </c>
      <c r="B609" t="s">
        <v>746</v>
      </c>
      <c r="C609" s="23">
        <v>2.38</v>
      </c>
      <c r="D609" s="22">
        <v>100</v>
      </c>
      <c r="E609" s="37">
        <v>48.6</v>
      </c>
      <c r="F609">
        <v>960</v>
      </c>
      <c r="G609" s="27">
        <v>20.8</v>
      </c>
      <c r="H609" s="24">
        <f t="shared" si="71"/>
        <v>1.7612332465126574E-2</v>
      </c>
      <c r="I609" s="25">
        <f t="shared" si="68"/>
        <v>1.5416818637008445E-5</v>
      </c>
      <c r="J609" s="24">
        <f t="shared" si="69"/>
        <v>0.22293615509863268</v>
      </c>
      <c r="K609" s="14">
        <v>2.8</v>
      </c>
      <c r="L609" s="27">
        <v>15.86</v>
      </c>
      <c r="M609" s="27">
        <v>2.71</v>
      </c>
      <c r="N609" s="4">
        <f t="shared" si="51"/>
        <v>5.8523985239852401</v>
      </c>
      <c r="O609" s="20">
        <f t="shared" si="52"/>
        <v>6.6638655462184877</v>
      </c>
      <c r="P609">
        <f t="shared" si="70"/>
        <v>3321.7929230769228</v>
      </c>
    </row>
    <row r="610" spans="1:16">
      <c r="A610" s="27" t="s">
        <v>683</v>
      </c>
      <c r="B610" t="s">
        <v>746</v>
      </c>
      <c r="C610" s="23">
        <v>1.79</v>
      </c>
      <c r="D610" s="22">
        <v>2000</v>
      </c>
      <c r="E610" s="37">
        <v>48.6</v>
      </c>
      <c r="F610">
        <v>960</v>
      </c>
      <c r="G610" s="27">
        <v>20.8</v>
      </c>
      <c r="H610" s="24">
        <f t="shared" si="71"/>
        <v>0.46835029348604751</v>
      </c>
      <c r="I610" s="25">
        <f t="shared" si="68"/>
        <v>1.4495277466261719E-2</v>
      </c>
      <c r="J610" s="24">
        <f t="shared" si="69"/>
        <v>0.25706471547366361</v>
      </c>
      <c r="K610" s="14">
        <v>2.4</v>
      </c>
      <c r="L610" s="27">
        <v>16.02</v>
      </c>
      <c r="M610" s="27">
        <v>2.59</v>
      </c>
      <c r="N610" s="4">
        <f t="shared" si="51"/>
        <v>6.1853281853281858</v>
      </c>
      <c r="O610" s="20">
        <f t="shared" si="52"/>
        <v>8.949720670391061</v>
      </c>
      <c r="P610">
        <f t="shared" si="70"/>
        <v>3034.1252307692303</v>
      </c>
    </row>
    <row r="611" spans="1:16">
      <c r="A611" s="27" t="s">
        <v>684</v>
      </c>
      <c r="B611" t="s">
        <v>746</v>
      </c>
      <c r="C611" s="23">
        <v>1.79</v>
      </c>
      <c r="D611" s="22">
        <v>1750</v>
      </c>
      <c r="E611" s="37">
        <v>48.6</v>
      </c>
      <c r="F611">
        <v>960</v>
      </c>
      <c r="G611" s="27">
        <v>20.8</v>
      </c>
      <c r="H611" s="24">
        <f t="shared" si="71"/>
        <v>0.40980650680029157</v>
      </c>
      <c r="I611" s="25">
        <f t="shared" si="68"/>
        <v>1.1097946810106627E-2</v>
      </c>
      <c r="J611" s="24">
        <f t="shared" si="69"/>
        <v>0.25706471547366361</v>
      </c>
      <c r="K611" s="14">
        <v>2.4</v>
      </c>
      <c r="L611" s="27">
        <v>16.95</v>
      </c>
      <c r="M611" s="27">
        <v>2.61</v>
      </c>
      <c r="N611" s="4">
        <f t="shared" si="51"/>
        <v>6.4942528735632186</v>
      </c>
      <c r="O611" s="20">
        <f t="shared" si="52"/>
        <v>9.4692737430167586</v>
      </c>
      <c r="P611">
        <f t="shared" si="70"/>
        <v>3081.1652307692307</v>
      </c>
    </row>
    <row r="612" spans="1:16">
      <c r="A612" s="27" t="s">
        <v>685</v>
      </c>
      <c r="B612" t="s">
        <v>746</v>
      </c>
      <c r="C612" s="23">
        <v>1.79</v>
      </c>
      <c r="D612" s="22">
        <v>1500</v>
      </c>
      <c r="E612" s="37">
        <v>48.6</v>
      </c>
      <c r="F612">
        <v>960</v>
      </c>
      <c r="G612" s="27">
        <v>20.8</v>
      </c>
      <c r="H612" s="24">
        <f t="shared" si="71"/>
        <v>0.35126272011453558</v>
      </c>
      <c r="I612" s="25">
        <f t="shared" si="68"/>
        <v>8.1535935747722148E-3</v>
      </c>
      <c r="J612" s="24">
        <f t="shared" si="69"/>
        <v>0.25706471547366361</v>
      </c>
      <c r="K612" s="14">
        <v>2.4</v>
      </c>
      <c r="L612" s="27">
        <v>16.87</v>
      </c>
      <c r="M612" s="27">
        <v>2.62</v>
      </c>
      <c r="N612" s="4">
        <f t="shared" si="51"/>
        <v>6.4389312977099236</v>
      </c>
      <c r="O612" s="20">
        <f t="shared" si="52"/>
        <v>9.4245810055865924</v>
      </c>
      <c r="P612">
        <f t="shared" si="70"/>
        <v>3104.8209230769239</v>
      </c>
    </row>
    <row r="613" spans="1:16">
      <c r="A613" s="27" t="s">
        <v>686</v>
      </c>
      <c r="B613" t="s">
        <v>746</v>
      </c>
      <c r="C613" s="23">
        <v>1.79</v>
      </c>
      <c r="D613" s="22">
        <v>1250</v>
      </c>
      <c r="E613" s="37">
        <v>48.6</v>
      </c>
      <c r="F613">
        <v>960</v>
      </c>
      <c r="G613" s="27">
        <v>20.8</v>
      </c>
      <c r="H613" s="24">
        <f t="shared" si="71"/>
        <v>0.29271893342877969</v>
      </c>
      <c r="I613" s="25">
        <f t="shared" si="68"/>
        <v>5.6622177602584827E-3</v>
      </c>
      <c r="J613" s="24">
        <f t="shared" si="69"/>
        <v>0.25706471547366355</v>
      </c>
      <c r="K613" s="14">
        <v>2.4</v>
      </c>
      <c r="L613" s="27">
        <v>16.64</v>
      </c>
      <c r="M613" s="27">
        <v>2.61</v>
      </c>
      <c r="N613" s="4">
        <f t="shared" si="51"/>
        <v>6.3754789272030656</v>
      </c>
      <c r="O613" s="20">
        <f t="shared" si="52"/>
        <v>9.2960893854748612</v>
      </c>
      <c r="P613">
        <f t="shared" si="70"/>
        <v>3081.1652307692307</v>
      </c>
    </row>
    <row r="614" spans="1:16">
      <c r="A614" s="27" t="s">
        <v>687</v>
      </c>
      <c r="B614" t="s">
        <v>746</v>
      </c>
      <c r="C614" s="23">
        <v>1.79</v>
      </c>
      <c r="D614" s="22">
        <v>1000</v>
      </c>
      <c r="E614" s="37">
        <v>48.6</v>
      </c>
      <c r="F614">
        <v>960</v>
      </c>
      <c r="G614" s="27">
        <v>20.8</v>
      </c>
      <c r="H614" s="24">
        <f t="shared" si="71"/>
        <v>0.23417514674302375</v>
      </c>
      <c r="I614" s="25">
        <f t="shared" si="68"/>
        <v>3.6238193665654298E-3</v>
      </c>
      <c r="J614" s="24">
        <f t="shared" si="69"/>
        <v>0.25706471547366361</v>
      </c>
      <c r="K614" s="14">
        <v>2.4</v>
      </c>
      <c r="L614" s="27">
        <v>16.8</v>
      </c>
      <c r="M614" s="27">
        <v>2.61</v>
      </c>
      <c r="N614" s="4">
        <f t="shared" si="51"/>
        <v>6.4367816091954033</v>
      </c>
      <c r="O614" s="20">
        <f t="shared" si="52"/>
        <v>9.3854748603351954</v>
      </c>
      <c r="P614">
        <f t="shared" si="70"/>
        <v>3081.1652307692307</v>
      </c>
    </row>
    <row r="615" spans="1:16">
      <c r="A615" s="27" t="s">
        <v>688</v>
      </c>
      <c r="B615" t="s">
        <v>746</v>
      </c>
      <c r="C615" s="23">
        <v>1.79</v>
      </c>
      <c r="D615" s="22">
        <v>750</v>
      </c>
      <c r="E615" s="37">
        <v>48.6</v>
      </c>
      <c r="F615">
        <v>960</v>
      </c>
      <c r="G615" s="27">
        <v>20.8</v>
      </c>
      <c r="H615" s="24">
        <f t="shared" si="71"/>
        <v>0.17563136005726779</v>
      </c>
      <c r="I615" s="25">
        <f t="shared" ref="I615:I678" si="72">(16 * F615 * (D615 * 10^-9 / 60)^2) / (PI()^2 * (C615 * 10^-3)^3 * (G615 * 10^-3))</f>
        <v>2.0383983936930537E-3</v>
      </c>
      <c r="J615" s="24">
        <f t="shared" ref="J615:J678" si="73">SQRT(I615)/H615</f>
        <v>0.25706471547366361</v>
      </c>
      <c r="K615" s="14">
        <v>2.4</v>
      </c>
      <c r="L615" s="27">
        <v>16.940000000000001</v>
      </c>
      <c r="M615" s="27">
        <v>2.6</v>
      </c>
      <c r="N615" s="4">
        <f t="shared" si="51"/>
        <v>6.5153846153846153</v>
      </c>
      <c r="O615" s="20">
        <f t="shared" si="52"/>
        <v>9.4636871508379894</v>
      </c>
      <c r="P615">
        <f t="shared" si="70"/>
        <v>3057.6000000000004</v>
      </c>
    </row>
    <row r="616" spans="1:16">
      <c r="A616" s="27" t="s">
        <v>689</v>
      </c>
      <c r="B616" t="s">
        <v>746</v>
      </c>
      <c r="C616" s="23">
        <v>1.79</v>
      </c>
      <c r="D616" s="22">
        <v>500</v>
      </c>
      <c r="E616" s="37">
        <v>48.6</v>
      </c>
      <c r="F616">
        <v>960</v>
      </c>
      <c r="G616" s="27">
        <v>20.8</v>
      </c>
      <c r="H616" s="24">
        <f t="shared" si="71"/>
        <v>0.11708757337151188</v>
      </c>
      <c r="I616" s="25">
        <f t="shared" si="72"/>
        <v>9.0595484164135746E-4</v>
      </c>
      <c r="J616" s="24">
        <f t="shared" si="73"/>
        <v>0.25706471547366361</v>
      </c>
      <c r="K616" s="14">
        <v>2.4</v>
      </c>
      <c r="L616" s="27">
        <v>15.83</v>
      </c>
      <c r="M616" s="27">
        <v>2.56</v>
      </c>
      <c r="N616" s="4">
        <f t="shared" si="51"/>
        <v>6.18359375</v>
      </c>
      <c r="O616" s="20">
        <f t="shared" si="52"/>
        <v>8.8435754189944138</v>
      </c>
      <c r="P616">
        <f t="shared" si="70"/>
        <v>2964.2436923076925</v>
      </c>
    </row>
    <row r="617" spans="1:16">
      <c r="A617" s="27" t="s">
        <v>690</v>
      </c>
      <c r="B617" t="s">
        <v>746</v>
      </c>
      <c r="C617" s="23">
        <v>1.79</v>
      </c>
      <c r="D617" s="22">
        <v>250</v>
      </c>
      <c r="E617" s="37">
        <v>48.6</v>
      </c>
      <c r="F617">
        <v>960</v>
      </c>
      <c r="G617" s="27">
        <v>20.8</v>
      </c>
      <c r="H617" s="24">
        <f t="shared" si="71"/>
        <v>5.8543786685755939E-2</v>
      </c>
      <c r="I617" s="25">
        <f t="shared" si="72"/>
        <v>2.2648871041033936E-4</v>
      </c>
      <c r="J617" s="24">
        <f t="shared" si="73"/>
        <v>0.25706471547366361</v>
      </c>
      <c r="K617" s="14">
        <v>2.4</v>
      </c>
      <c r="L617" s="27">
        <v>15.23</v>
      </c>
      <c r="M617" s="27">
        <v>2.57</v>
      </c>
      <c r="N617" s="4">
        <f t="shared" si="51"/>
        <v>5.9260700389105061</v>
      </c>
      <c r="O617" s="20">
        <f t="shared" si="52"/>
        <v>8.5083798882681556</v>
      </c>
      <c r="P617">
        <f t="shared" si="70"/>
        <v>2987.4470769230766</v>
      </c>
    </row>
    <row r="618" spans="1:16">
      <c r="A618" s="27" t="s">
        <v>691</v>
      </c>
      <c r="B618" t="s">
        <v>746</v>
      </c>
      <c r="C618" s="23">
        <v>1.79</v>
      </c>
      <c r="D618" s="22">
        <v>100</v>
      </c>
      <c r="E618" s="37">
        <v>48.6</v>
      </c>
      <c r="F618">
        <v>960</v>
      </c>
      <c r="G618" s="27">
        <v>20.8</v>
      </c>
      <c r="H618" s="24">
        <f t="shared" si="71"/>
        <v>2.3417514674302375E-2</v>
      </c>
      <c r="I618" s="25">
        <f t="shared" si="72"/>
        <v>3.6238193665654295E-5</v>
      </c>
      <c r="J618" s="24">
        <f t="shared" si="73"/>
        <v>0.25706471547366361</v>
      </c>
      <c r="K618" s="14">
        <v>2.4</v>
      </c>
      <c r="L618" s="27">
        <v>14.99</v>
      </c>
      <c r="M618" s="27">
        <v>2.5499999999999998</v>
      </c>
      <c r="N618" s="4">
        <f t="shared" si="51"/>
        <v>5.87843137254902</v>
      </c>
      <c r="O618" s="20">
        <f t="shared" si="52"/>
        <v>8.3743016759776534</v>
      </c>
      <c r="P618">
        <f t="shared" si="70"/>
        <v>2941.1307692307691</v>
      </c>
    </row>
    <row r="619" spans="1:16">
      <c r="A619" s="27" t="s">
        <v>692</v>
      </c>
      <c r="B619" t="s">
        <v>746</v>
      </c>
      <c r="C619" s="23">
        <v>1.37</v>
      </c>
      <c r="D619" s="22">
        <v>2000</v>
      </c>
      <c r="E619" s="37">
        <v>48.6</v>
      </c>
      <c r="F619">
        <v>960</v>
      </c>
      <c r="G619" s="27">
        <v>20.8</v>
      </c>
      <c r="H619" s="24">
        <f t="shared" si="71"/>
        <v>0.6119321352846897</v>
      </c>
      <c r="I619" s="25">
        <f t="shared" si="72"/>
        <v>3.2331356359112121E-2</v>
      </c>
      <c r="J619" s="24">
        <f t="shared" si="73"/>
        <v>0.2938385022638958</v>
      </c>
      <c r="K619" s="14">
        <v>1.8</v>
      </c>
      <c r="L619" s="27">
        <v>10.47</v>
      </c>
      <c r="M619" s="27">
        <v>2.4900000000000002</v>
      </c>
      <c r="N619" s="4">
        <f t="shared" si="51"/>
        <v>4.2048192771084336</v>
      </c>
      <c r="O619" s="20">
        <f t="shared" si="52"/>
        <v>7.6423357664233578</v>
      </c>
      <c r="P619">
        <f t="shared" si="70"/>
        <v>2804.3529230769236</v>
      </c>
    </row>
    <row r="620" spans="1:16">
      <c r="A620" s="27" t="s">
        <v>693</v>
      </c>
      <c r="B620" t="s">
        <v>746</v>
      </c>
      <c r="C620" s="23">
        <v>1.37</v>
      </c>
      <c r="D620" s="22">
        <v>1750</v>
      </c>
      <c r="E620" s="37">
        <v>48.6</v>
      </c>
      <c r="F620">
        <v>960</v>
      </c>
      <c r="G620" s="27">
        <v>20.8</v>
      </c>
      <c r="H620" s="24">
        <f t="shared" si="71"/>
        <v>0.53544061837410339</v>
      </c>
      <c r="I620" s="25">
        <f t="shared" si="72"/>
        <v>2.4753694712445214E-2</v>
      </c>
      <c r="J620" s="24">
        <f t="shared" si="73"/>
        <v>0.29383850226389585</v>
      </c>
      <c r="K620" s="14">
        <v>1.8</v>
      </c>
      <c r="L620" s="27">
        <v>11.46</v>
      </c>
      <c r="M620" s="27">
        <v>2.52</v>
      </c>
      <c r="N620" s="4">
        <f t="shared" si="51"/>
        <v>4.5476190476190483</v>
      </c>
      <c r="O620" s="20">
        <f t="shared" si="52"/>
        <v>8.3649635036496353</v>
      </c>
      <c r="P620">
        <f t="shared" si="70"/>
        <v>2872.3347692307693</v>
      </c>
    </row>
    <row r="621" spans="1:16">
      <c r="A621" s="27" t="s">
        <v>694</v>
      </c>
      <c r="B621" t="s">
        <v>746</v>
      </c>
      <c r="C621" s="23">
        <v>1.37</v>
      </c>
      <c r="D621" s="22">
        <v>1500</v>
      </c>
      <c r="E621" s="37">
        <v>48.6</v>
      </c>
      <c r="F621">
        <v>960</v>
      </c>
      <c r="G621" s="27">
        <v>20.8</v>
      </c>
      <c r="H621" s="24">
        <f t="shared" si="71"/>
        <v>0.4589491014635172</v>
      </c>
      <c r="I621" s="25">
        <f t="shared" si="72"/>
        <v>1.8186387952000563E-2</v>
      </c>
      <c r="J621" s="24">
        <f t="shared" si="73"/>
        <v>0.29383850226389585</v>
      </c>
      <c r="K621" s="14">
        <v>1.8</v>
      </c>
      <c r="L621" s="27">
        <v>10.93</v>
      </c>
      <c r="M621" s="27">
        <v>2.5</v>
      </c>
      <c r="N621" s="4">
        <f t="shared" si="51"/>
        <v>4.3719999999999999</v>
      </c>
      <c r="O621" s="20">
        <f t="shared" si="52"/>
        <v>7.9781021897810209</v>
      </c>
      <c r="P621">
        <f t="shared" si="70"/>
        <v>2826.9230769230771</v>
      </c>
    </row>
    <row r="622" spans="1:16">
      <c r="A622" s="27" t="s">
        <v>695</v>
      </c>
      <c r="B622" t="s">
        <v>746</v>
      </c>
      <c r="C622" s="23">
        <v>1.37</v>
      </c>
      <c r="D622" s="22">
        <v>1250</v>
      </c>
      <c r="E622" s="37">
        <v>48.6</v>
      </c>
      <c r="F622">
        <v>960</v>
      </c>
      <c r="G622" s="27">
        <v>20.8</v>
      </c>
      <c r="H622" s="24">
        <f t="shared" si="71"/>
        <v>0.382457584552931</v>
      </c>
      <c r="I622" s="25">
        <f t="shared" si="72"/>
        <v>1.2629436077778167E-2</v>
      </c>
      <c r="J622" s="24">
        <f t="shared" si="73"/>
        <v>0.2938385022638958</v>
      </c>
      <c r="K622" s="14">
        <v>1.8</v>
      </c>
      <c r="L622" s="27">
        <v>10.99</v>
      </c>
      <c r="M622" s="27">
        <v>2.4900000000000002</v>
      </c>
      <c r="N622" s="4">
        <f t="shared" si="51"/>
        <v>4.4136546184738954</v>
      </c>
      <c r="O622" s="20">
        <f t="shared" si="52"/>
        <v>8.0218978102189773</v>
      </c>
      <c r="P622">
        <f t="shared" si="70"/>
        <v>2804.3529230769236</v>
      </c>
    </row>
    <row r="623" spans="1:16">
      <c r="A623" s="27" t="s">
        <v>696</v>
      </c>
      <c r="B623" t="s">
        <v>746</v>
      </c>
      <c r="C623" s="23">
        <v>1.37</v>
      </c>
      <c r="D623" s="22">
        <v>1000</v>
      </c>
      <c r="E623" s="37">
        <v>48.6</v>
      </c>
      <c r="F623">
        <v>960</v>
      </c>
      <c r="G623" s="27">
        <v>20.8</v>
      </c>
      <c r="H623" s="24">
        <f t="shared" si="71"/>
        <v>0.30596606764234485</v>
      </c>
      <c r="I623" s="25">
        <f t="shared" si="72"/>
        <v>8.0828390897780301E-3</v>
      </c>
      <c r="J623" s="24">
        <f t="shared" si="73"/>
        <v>0.2938385022638958</v>
      </c>
      <c r="K623" s="14">
        <v>1.8</v>
      </c>
      <c r="L623" s="27">
        <v>10.79</v>
      </c>
      <c r="M623" s="27">
        <v>2.46</v>
      </c>
      <c r="N623" s="4">
        <f t="shared" si="51"/>
        <v>4.3861788617886175</v>
      </c>
      <c r="O623" s="20">
        <f t="shared" si="52"/>
        <v>7.875912408759123</v>
      </c>
      <c r="P623">
        <f t="shared" si="70"/>
        <v>2737.1852307692311</v>
      </c>
    </row>
    <row r="624" spans="1:16">
      <c r="A624" s="27" t="s">
        <v>697</v>
      </c>
      <c r="B624" t="s">
        <v>746</v>
      </c>
      <c r="C624" s="23">
        <v>1.37</v>
      </c>
      <c r="D624" s="22">
        <v>750</v>
      </c>
      <c r="E624" s="37">
        <v>48.6</v>
      </c>
      <c r="F624">
        <v>960</v>
      </c>
      <c r="G624" s="27">
        <v>20.8</v>
      </c>
      <c r="H624" s="24">
        <f t="shared" si="71"/>
        <v>0.2294745507317586</v>
      </c>
      <c r="I624" s="25">
        <f t="shared" si="72"/>
        <v>4.5465969880001409E-3</v>
      </c>
      <c r="J624" s="24">
        <f t="shared" si="73"/>
        <v>0.29383850226389585</v>
      </c>
      <c r="K624" s="14">
        <v>1.8</v>
      </c>
      <c r="L624" s="27">
        <v>10.64</v>
      </c>
      <c r="M624" s="27">
        <v>2.52</v>
      </c>
      <c r="N624" s="4">
        <f t="shared" si="51"/>
        <v>4.2222222222222223</v>
      </c>
      <c r="O624" s="20">
        <f t="shared" si="52"/>
        <v>7.766423357664233</v>
      </c>
      <c r="P624">
        <f t="shared" si="70"/>
        <v>2872.3347692307693</v>
      </c>
    </row>
    <row r="625" spans="1:16">
      <c r="A625" s="27" t="s">
        <v>698</v>
      </c>
      <c r="B625" t="s">
        <v>746</v>
      </c>
      <c r="C625" s="23">
        <v>1.37</v>
      </c>
      <c r="D625" s="22">
        <v>500</v>
      </c>
      <c r="E625" s="37">
        <v>48.6</v>
      </c>
      <c r="F625">
        <v>960</v>
      </c>
      <c r="G625" s="27">
        <v>20.8</v>
      </c>
      <c r="H625" s="24">
        <f t="shared" si="71"/>
        <v>0.15298303382117243</v>
      </c>
      <c r="I625" s="25">
        <f t="shared" si="72"/>
        <v>2.0207097724445075E-3</v>
      </c>
      <c r="J625" s="24">
        <f t="shared" si="73"/>
        <v>0.2938385022638958</v>
      </c>
      <c r="K625" s="14">
        <v>1.8</v>
      </c>
      <c r="L625" s="27">
        <v>10.09</v>
      </c>
      <c r="M625" s="27">
        <v>2.4300000000000002</v>
      </c>
      <c r="N625" s="4">
        <f t="shared" si="51"/>
        <v>4.1522633744855968</v>
      </c>
      <c r="O625" s="20">
        <f t="shared" si="52"/>
        <v>7.3649635036496344</v>
      </c>
      <c r="P625">
        <f t="shared" si="70"/>
        <v>2670.8316923076927</v>
      </c>
    </row>
    <row r="626" spans="1:16">
      <c r="A626" s="27" t="s">
        <v>699</v>
      </c>
      <c r="B626" t="s">
        <v>746</v>
      </c>
      <c r="C626" s="23">
        <v>1.37</v>
      </c>
      <c r="D626" s="22">
        <v>250</v>
      </c>
      <c r="E626" s="37">
        <v>48.6</v>
      </c>
      <c r="F626">
        <v>960</v>
      </c>
      <c r="G626" s="27">
        <v>20.8</v>
      </c>
      <c r="H626" s="24">
        <f t="shared" si="71"/>
        <v>7.6491516910586213E-2</v>
      </c>
      <c r="I626" s="25">
        <f t="shared" si="72"/>
        <v>5.0517744311112688E-4</v>
      </c>
      <c r="J626" s="24">
        <f t="shared" si="73"/>
        <v>0.2938385022638958</v>
      </c>
      <c r="K626" s="14">
        <v>1.8</v>
      </c>
      <c r="L626" s="27">
        <v>9.75</v>
      </c>
      <c r="M626" s="27">
        <v>2.4</v>
      </c>
      <c r="N626" s="4">
        <f t="shared" si="51"/>
        <v>4.0625</v>
      </c>
      <c r="O626" s="20">
        <f t="shared" si="52"/>
        <v>7.1167883211678831</v>
      </c>
      <c r="P626">
        <f t="shared" si="70"/>
        <v>2605.2923076923075</v>
      </c>
    </row>
    <row r="627" spans="1:16">
      <c r="A627" s="27" t="s">
        <v>700</v>
      </c>
      <c r="B627" t="s">
        <v>746</v>
      </c>
      <c r="C627" s="23">
        <v>1.37</v>
      </c>
      <c r="D627" s="22">
        <v>100</v>
      </c>
      <c r="E627" s="37">
        <v>48.6</v>
      </c>
      <c r="F627">
        <v>960</v>
      </c>
      <c r="G627" s="27">
        <v>20.8</v>
      </c>
      <c r="H627" s="24">
        <f t="shared" si="71"/>
        <v>3.059660676423448E-2</v>
      </c>
      <c r="I627" s="25">
        <f t="shared" si="72"/>
        <v>8.0828390897780283E-5</v>
      </c>
      <c r="J627" s="24">
        <f t="shared" si="73"/>
        <v>0.2938385022638958</v>
      </c>
      <c r="K627" s="14">
        <v>1.8</v>
      </c>
      <c r="L627" s="27">
        <v>8.4</v>
      </c>
      <c r="M627" s="27">
        <v>2.33</v>
      </c>
      <c r="N627" s="4">
        <f t="shared" si="51"/>
        <v>3.6051502145922747</v>
      </c>
      <c r="O627" s="20">
        <f t="shared" si="52"/>
        <v>6.1313868613138682</v>
      </c>
      <c r="P627">
        <f t="shared" si="70"/>
        <v>2455.5332307692311</v>
      </c>
    </row>
    <row r="628" spans="1:16">
      <c r="A628" s="27" t="s">
        <v>701</v>
      </c>
      <c r="B628" t="s">
        <v>746</v>
      </c>
      <c r="C628" s="28">
        <v>0.83</v>
      </c>
      <c r="D628" s="22">
        <v>2000</v>
      </c>
      <c r="E628" s="37">
        <v>48.6</v>
      </c>
      <c r="F628">
        <v>960</v>
      </c>
      <c r="G628" s="27">
        <v>20.8</v>
      </c>
      <c r="H628" s="24">
        <f t="shared" si="71"/>
        <v>1.0100566570361749</v>
      </c>
      <c r="I628" s="25">
        <f t="shared" si="72"/>
        <v>0.1453956283862208</v>
      </c>
      <c r="J628" s="24">
        <f t="shared" si="73"/>
        <v>0.37751128542196621</v>
      </c>
      <c r="K628" s="14">
        <v>1.27</v>
      </c>
      <c r="L628" s="27">
        <v>7.01</v>
      </c>
      <c r="M628" s="27">
        <v>2.33</v>
      </c>
      <c r="N628" s="4">
        <f t="shared" si="51"/>
        <v>3.0085836909871242</v>
      </c>
      <c r="O628" s="20">
        <f t="shared" si="52"/>
        <v>8.4457831325301207</v>
      </c>
      <c r="P628">
        <f t="shared" si="70"/>
        <v>2455.5332307692311</v>
      </c>
    </row>
    <row r="629" spans="1:16">
      <c r="A629" s="27" t="s">
        <v>702</v>
      </c>
      <c r="B629" t="s">
        <v>746</v>
      </c>
      <c r="C629" s="28">
        <v>0.83</v>
      </c>
      <c r="D629" s="22">
        <v>1750</v>
      </c>
      <c r="E629" s="37">
        <v>48.6</v>
      </c>
      <c r="F629">
        <v>960</v>
      </c>
      <c r="G629" s="27">
        <v>20.8</v>
      </c>
      <c r="H629" s="24">
        <f t="shared" si="71"/>
        <v>0.88379957490665284</v>
      </c>
      <c r="I629" s="25">
        <f t="shared" si="72"/>
        <v>0.1113185279832003</v>
      </c>
      <c r="J629" s="24">
        <f t="shared" si="73"/>
        <v>0.37751128542196632</v>
      </c>
      <c r="K629" s="14">
        <v>1.27</v>
      </c>
      <c r="L629" s="27">
        <v>6.42</v>
      </c>
      <c r="M629" s="27">
        <v>2.29</v>
      </c>
      <c r="N629" s="4">
        <f t="shared" si="51"/>
        <v>2.8034934497816595</v>
      </c>
      <c r="O629" s="20">
        <f t="shared" si="52"/>
        <v>7.7349397590361448</v>
      </c>
      <c r="P629">
        <f t="shared" si="70"/>
        <v>2371.9467692307694</v>
      </c>
    </row>
    <row r="630" spans="1:16">
      <c r="A630" s="27" t="s">
        <v>703</v>
      </c>
      <c r="B630" t="s">
        <v>746</v>
      </c>
      <c r="C630" s="28">
        <v>0.83</v>
      </c>
      <c r="D630" s="22">
        <v>1500</v>
      </c>
      <c r="E630" s="37">
        <v>48.6</v>
      </c>
      <c r="F630">
        <v>960</v>
      </c>
      <c r="G630" s="27">
        <v>20.8</v>
      </c>
      <c r="H630" s="24">
        <f t="shared" si="71"/>
        <v>0.75754249277713104</v>
      </c>
      <c r="I630" s="25">
        <f t="shared" si="72"/>
        <v>8.1785040967249187E-2</v>
      </c>
      <c r="J630" s="24">
        <f t="shared" si="73"/>
        <v>0.37751128542196627</v>
      </c>
      <c r="K630" s="14">
        <v>1.27</v>
      </c>
      <c r="L630" s="27">
        <v>6.69</v>
      </c>
      <c r="M630" s="27">
        <v>2.2999999999999998</v>
      </c>
      <c r="N630" s="4">
        <f t="shared" si="51"/>
        <v>2.9086956521739133</v>
      </c>
      <c r="O630" s="20">
        <f t="shared" si="52"/>
        <v>8.0602409638554224</v>
      </c>
      <c r="P630">
        <f t="shared" si="70"/>
        <v>2392.707692307692</v>
      </c>
    </row>
    <row r="631" spans="1:16">
      <c r="A631" s="27" t="s">
        <v>704</v>
      </c>
      <c r="B631" t="s">
        <v>746</v>
      </c>
      <c r="C631" s="28">
        <v>0.83</v>
      </c>
      <c r="D631" s="22">
        <v>1250</v>
      </c>
      <c r="E631" s="37">
        <v>48.6</v>
      </c>
      <c r="F631">
        <v>960</v>
      </c>
      <c r="G631" s="27">
        <v>20.8</v>
      </c>
      <c r="H631" s="24">
        <f t="shared" si="71"/>
        <v>0.63128541064760924</v>
      </c>
      <c r="I631" s="25">
        <f t="shared" si="72"/>
        <v>5.6795167338367487E-2</v>
      </c>
      <c r="J631" s="24">
        <f t="shared" si="73"/>
        <v>0.37751128542196621</v>
      </c>
      <c r="K631" s="14">
        <v>1.27</v>
      </c>
      <c r="L631" s="27">
        <v>6.72</v>
      </c>
      <c r="M631" s="27">
        <v>2.29</v>
      </c>
      <c r="N631" s="4">
        <f t="shared" si="51"/>
        <v>2.9344978165938862</v>
      </c>
      <c r="O631" s="20">
        <f t="shared" si="52"/>
        <v>8.0963855421686741</v>
      </c>
      <c r="P631">
        <f t="shared" si="70"/>
        <v>2371.9467692307694</v>
      </c>
    </row>
    <row r="632" spans="1:16">
      <c r="A632" s="27" t="s">
        <v>705</v>
      </c>
      <c r="B632" t="s">
        <v>746</v>
      </c>
      <c r="C632" s="28">
        <v>0.83</v>
      </c>
      <c r="D632" s="22">
        <v>1000</v>
      </c>
      <c r="E632" s="37">
        <v>48.6</v>
      </c>
      <c r="F632">
        <v>960</v>
      </c>
      <c r="G632" s="27">
        <v>20.8</v>
      </c>
      <c r="H632" s="24">
        <f t="shared" si="71"/>
        <v>0.50502832851808743</v>
      </c>
      <c r="I632" s="25">
        <f t="shared" si="72"/>
        <v>3.6348907096555201E-2</v>
      </c>
      <c r="J632" s="24">
        <f t="shared" si="73"/>
        <v>0.37751128542196621</v>
      </c>
      <c r="K632" s="14">
        <v>1.27</v>
      </c>
      <c r="L632" s="27">
        <v>6.53</v>
      </c>
      <c r="M632" s="27">
        <v>2.33</v>
      </c>
      <c r="N632" s="4">
        <f t="shared" si="51"/>
        <v>2.8025751072961373</v>
      </c>
      <c r="O632" s="20">
        <f t="shared" si="52"/>
        <v>7.8674698795180733</v>
      </c>
      <c r="P632">
        <f t="shared" si="70"/>
        <v>2455.5332307692311</v>
      </c>
    </row>
    <row r="633" spans="1:16">
      <c r="A633" s="27" t="s">
        <v>706</v>
      </c>
      <c r="B633" t="s">
        <v>746</v>
      </c>
      <c r="C633" s="28">
        <v>0.83</v>
      </c>
      <c r="D633" s="22">
        <v>750</v>
      </c>
      <c r="E633" s="37">
        <v>48.6</v>
      </c>
      <c r="F633">
        <v>960</v>
      </c>
      <c r="G633" s="27">
        <v>20.8</v>
      </c>
      <c r="H633" s="24">
        <f t="shared" si="71"/>
        <v>0.37877124638856552</v>
      </c>
      <c r="I633" s="25">
        <f t="shared" si="72"/>
        <v>2.0446260241812297E-2</v>
      </c>
      <c r="J633" s="24">
        <f t="shared" si="73"/>
        <v>0.37751128542196627</v>
      </c>
      <c r="K633" s="14">
        <v>1.27</v>
      </c>
      <c r="L633" s="27">
        <v>6.86</v>
      </c>
      <c r="M633" s="27">
        <v>2.29</v>
      </c>
      <c r="N633" s="4">
        <f t="shared" si="51"/>
        <v>2.9956331877729259</v>
      </c>
      <c r="O633" s="20">
        <f t="shared" si="52"/>
        <v>8.2650602409638569</v>
      </c>
      <c r="P633">
        <f t="shared" si="70"/>
        <v>2371.9467692307694</v>
      </c>
    </row>
    <row r="634" spans="1:16">
      <c r="A634" s="27" t="s">
        <v>707</v>
      </c>
      <c r="B634" t="s">
        <v>746</v>
      </c>
      <c r="C634" s="28">
        <v>0.83</v>
      </c>
      <c r="D634" s="22">
        <v>500</v>
      </c>
      <c r="E634" s="37">
        <v>48.6</v>
      </c>
      <c r="F634">
        <v>960</v>
      </c>
      <c r="G634" s="27">
        <v>20.8</v>
      </c>
      <c r="H634" s="24">
        <f t="shared" si="71"/>
        <v>0.25251416425904372</v>
      </c>
      <c r="I634" s="25">
        <f t="shared" si="72"/>
        <v>9.0872267741388003E-3</v>
      </c>
      <c r="J634" s="24">
        <f t="shared" si="73"/>
        <v>0.37751128542196621</v>
      </c>
      <c r="K634" s="14">
        <v>1.27</v>
      </c>
      <c r="L634" s="27">
        <v>6.41</v>
      </c>
      <c r="M634" s="27">
        <v>2.31</v>
      </c>
      <c r="N634" s="4">
        <f t="shared" si="51"/>
        <v>2.774891774891775</v>
      </c>
      <c r="O634" s="20">
        <f t="shared" si="52"/>
        <v>7.7228915662650603</v>
      </c>
      <c r="P634">
        <f t="shared" si="70"/>
        <v>2413.5590769230766</v>
      </c>
    </row>
    <row r="635" spans="1:16">
      <c r="A635" s="27" t="s">
        <v>708</v>
      </c>
      <c r="B635" t="s">
        <v>746</v>
      </c>
      <c r="C635" s="28">
        <v>0.83</v>
      </c>
      <c r="D635" s="22">
        <v>250</v>
      </c>
      <c r="E635" s="37">
        <v>48.6</v>
      </c>
      <c r="F635">
        <v>960</v>
      </c>
      <c r="G635" s="27">
        <v>20.8</v>
      </c>
      <c r="H635" s="24">
        <f t="shared" si="71"/>
        <v>0.12625708212952186</v>
      </c>
      <c r="I635" s="25">
        <f t="shared" si="72"/>
        <v>2.2718066935347001E-3</v>
      </c>
      <c r="J635" s="24">
        <f t="shared" si="73"/>
        <v>0.37751128542196621</v>
      </c>
      <c r="K635" s="14">
        <v>1.27</v>
      </c>
      <c r="L635" s="27">
        <v>5.99</v>
      </c>
      <c r="M635" s="27">
        <v>2.2400000000000002</v>
      </c>
      <c r="N635" s="4">
        <f t="shared" si="51"/>
        <v>2.6741071428571428</v>
      </c>
      <c r="O635" s="20">
        <f t="shared" si="52"/>
        <v>7.216867469879519</v>
      </c>
      <c r="P635">
        <f t="shared" si="70"/>
        <v>2269.4990769230772</v>
      </c>
    </row>
    <row r="636" spans="1:16">
      <c r="A636" s="27" t="s">
        <v>709</v>
      </c>
      <c r="B636" t="s">
        <v>746</v>
      </c>
      <c r="C636" s="28">
        <v>0.83</v>
      </c>
      <c r="D636" s="22">
        <v>100</v>
      </c>
      <c r="E636" s="37">
        <v>48.6</v>
      </c>
      <c r="F636">
        <v>960</v>
      </c>
      <c r="G636" s="27">
        <v>20.8</v>
      </c>
      <c r="H636" s="24">
        <f t="shared" si="71"/>
        <v>5.0502832851808739E-2</v>
      </c>
      <c r="I636" s="25">
        <f t="shared" si="72"/>
        <v>3.63489070965552E-4</v>
      </c>
      <c r="J636" s="24">
        <f t="shared" si="73"/>
        <v>0.37751128542196627</v>
      </c>
      <c r="K636" s="14">
        <v>1.27</v>
      </c>
      <c r="L636" s="27">
        <v>5.63</v>
      </c>
      <c r="M636" s="27">
        <v>2.23</v>
      </c>
      <c r="N636" s="4">
        <f t="shared" si="51"/>
        <v>2.5246636771300448</v>
      </c>
      <c r="O636" s="20">
        <f t="shared" si="52"/>
        <v>6.7831325301204819</v>
      </c>
      <c r="P636">
        <f t="shared" si="70"/>
        <v>2249.2809230769235</v>
      </c>
    </row>
    <row r="637" spans="1:16">
      <c r="A637" s="27" t="s">
        <v>710</v>
      </c>
      <c r="B637" t="s">
        <v>746</v>
      </c>
      <c r="C637" s="28">
        <v>0.25</v>
      </c>
      <c r="D637" s="22">
        <v>2000</v>
      </c>
      <c r="E637" s="37">
        <v>48.6</v>
      </c>
      <c r="F637">
        <v>960</v>
      </c>
      <c r="G637" s="27">
        <v>20.8</v>
      </c>
      <c r="H637" s="24">
        <f t="shared" si="71"/>
        <v>3.3533881013600997</v>
      </c>
      <c r="I637" s="25">
        <f t="shared" si="72"/>
        <v>5.3206611307566103</v>
      </c>
      <c r="J637" s="24">
        <f t="shared" si="73"/>
        <v>0.68785829824284184</v>
      </c>
      <c r="K637" s="14">
        <v>0.51</v>
      </c>
      <c r="L637" s="27">
        <v>2.62</v>
      </c>
      <c r="M637" s="27">
        <v>1.91</v>
      </c>
      <c r="N637" s="4">
        <f t="shared" si="51"/>
        <v>1.3717277486910995</v>
      </c>
      <c r="O637" s="20">
        <f t="shared" si="52"/>
        <v>10.48</v>
      </c>
      <c r="P637">
        <f t="shared" si="70"/>
        <v>1650.063692307692</v>
      </c>
    </row>
    <row r="638" spans="1:16">
      <c r="A638" s="27" t="s">
        <v>711</v>
      </c>
      <c r="B638" t="s">
        <v>746</v>
      </c>
      <c r="C638" s="28">
        <v>0.25</v>
      </c>
      <c r="D638" s="22">
        <v>1750</v>
      </c>
      <c r="E638" s="37">
        <v>48.6</v>
      </c>
      <c r="F638">
        <v>960</v>
      </c>
      <c r="G638" s="27">
        <v>20.8</v>
      </c>
      <c r="H638" s="24">
        <f t="shared" si="71"/>
        <v>2.9342145886900872</v>
      </c>
      <c r="I638" s="25">
        <f t="shared" si="72"/>
        <v>4.0736311782355292</v>
      </c>
      <c r="J638" s="24">
        <f t="shared" si="73"/>
        <v>0.68785829824284184</v>
      </c>
      <c r="K638" s="14">
        <v>0.51</v>
      </c>
      <c r="L638" s="27">
        <v>2.66</v>
      </c>
      <c r="M638" s="27">
        <v>1.85</v>
      </c>
      <c r="N638" s="4">
        <f t="shared" si="51"/>
        <v>1.4378378378378378</v>
      </c>
      <c r="O638" s="20">
        <f t="shared" si="52"/>
        <v>10.64</v>
      </c>
      <c r="P638">
        <f t="shared" si="70"/>
        <v>1548.023076923077</v>
      </c>
    </row>
    <row r="639" spans="1:16">
      <c r="A639" s="27" t="s">
        <v>712</v>
      </c>
      <c r="B639" t="s">
        <v>746</v>
      </c>
      <c r="C639" s="28">
        <v>0.25</v>
      </c>
      <c r="D639" s="22">
        <v>1500</v>
      </c>
      <c r="E639" s="37">
        <v>48.6</v>
      </c>
      <c r="F639">
        <v>960</v>
      </c>
      <c r="G639" s="27">
        <v>20.8</v>
      </c>
      <c r="H639" s="24">
        <f t="shared" si="71"/>
        <v>2.5150410760200743</v>
      </c>
      <c r="I639" s="25">
        <f t="shared" si="72"/>
        <v>2.9928718860505925</v>
      </c>
      <c r="J639" s="24">
        <f t="shared" si="73"/>
        <v>0.68785829824284195</v>
      </c>
      <c r="K639" s="14">
        <v>0.51</v>
      </c>
      <c r="L639" s="27">
        <v>2.75</v>
      </c>
      <c r="M639" s="27">
        <v>1.9</v>
      </c>
      <c r="N639" s="4">
        <f t="shared" si="51"/>
        <v>1.4473684210526316</v>
      </c>
      <c r="O639" s="20">
        <f t="shared" si="52"/>
        <v>11</v>
      </c>
      <c r="P639">
        <f t="shared" si="70"/>
        <v>1632.8307692307694</v>
      </c>
    </row>
    <row r="640" spans="1:16">
      <c r="A640" s="27" t="s">
        <v>713</v>
      </c>
      <c r="B640" t="s">
        <v>746</v>
      </c>
      <c r="C640" s="28">
        <v>0.25</v>
      </c>
      <c r="D640" s="22">
        <v>1250</v>
      </c>
      <c r="E640" s="37">
        <v>48.6</v>
      </c>
      <c r="F640">
        <v>960</v>
      </c>
      <c r="G640" s="27">
        <v>20.8</v>
      </c>
      <c r="H640" s="24">
        <f t="shared" si="71"/>
        <v>2.0958675633500623</v>
      </c>
      <c r="I640" s="25">
        <f t="shared" si="72"/>
        <v>2.0783832542018001</v>
      </c>
      <c r="J640" s="24">
        <f t="shared" si="73"/>
        <v>0.68785829824284184</v>
      </c>
      <c r="K640" s="14">
        <v>0.51</v>
      </c>
      <c r="L640" s="27">
        <v>2.75</v>
      </c>
      <c r="M640" s="27">
        <v>1.9</v>
      </c>
      <c r="N640" s="4">
        <f t="shared" si="51"/>
        <v>1.4473684210526316</v>
      </c>
      <c r="O640" s="20">
        <f t="shared" si="52"/>
        <v>11</v>
      </c>
      <c r="P640">
        <f t="shared" si="70"/>
        <v>1632.8307692307694</v>
      </c>
    </row>
    <row r="641" spans="1:16">
      <c r="A641" s="27" t="s">
        <v>714</v>
      </c>
      <c r="B641" t="s">
        <v>746</v>
      </c>
      <c r="C641" s="28">
        <v>0.25</v>
      </c>
      <c r="D641" s="22">
        <v>1000</v>
      </c>
      <c r="E641" s="37">
        <v>48.6</v>
      </c>
      <c r="F641">
        <v>960</v>
      </c>
      <c r="G641" s="27">
        <v>20.8</v>
      </c>
      <c r="H641" s="24">
        <f t="shared" si="71"/>
        <v>1.6766940506800498</v>
      </c>
      <c r="I641" s="25">
        <f t="shared" si="72"/>
        <v>1.3301652826891526</v>
      </c>
      <c r="J641" s="24">
        <f t="shared" si="73"/>
        <v>0.68785829824284184</v>
      </c>
      <c r="K641" s="14">
        <v>0.51</v>
      </c>
      <c r="L641" s="27">
        <v>2.68</v>
      </c>
      <c r="M641" s="27">
        <v>1.8</v>
      </c>
      <c r="N641" s="4">
        <f t="shared" si="51"/>
        <v>1.4888888888888889</v>
      </c>
      <c r="O641" s="20">
        <f t="shared" si="52"/>
        <v>10.72</v>
      </c>
      <c r="P641">
        <f t="shared" si="70"/>
        <v>1465.4769230769232</v>
      </c>
    </row>
    <row r="642" spans="1:16">
      <c r="A642" s="27" t="s">
        <v>715</v>
      </c>
      <c r="B642" t="s">
        <v>746</v>
      </c>
      <c r="C642" s="28">
        <v>0.25</v>
      </c>
      <c r="D642" s="22">
        <v>750</v>
      </c>
      <c r="E642" s="37">
        <v>48.6</v>
      </c>
      <c r="F642">
        <v>960</v>
      </c>
      <c r="G642" s="27">
        <v>20.8</v>
      </c>
      <c r="H642" s="24">
        <f t="shared" si="71"/>
        <v>1.2575205380100372</v>
      </c>
      <c r="I642" s="25">
        <f t="shared" si="72"/>
        <v>0.74821797151264813</v>
      </c>
      <c r="J642" s="24">
        <f t="shared" si="73"/>
        <v>0.68785829824284195</v>
      </c>
      <c r="K642" s="14">
        <v>0.51</v>
      </c>
      <c r="L642" s="27">
        <v>2.75</v>
      </c>
      <c r="M642" s="27">
        <v>1.85</v>
      </c>
      <c r="N642" s="4">
        <f t="shared" si="51"/>
        <v>1.4864864864864864</v>
      </c>
      <c r="O642" s="20">
        <f t="shared" si="52"/>
        <v>11</v>
      </c>
      <c r="P642">
        <f t="shared" si="70"/>
        <v>1548.023076923077</v>
      </c>
    </row>
    <row r="643" spans="1:16">
      <c r="A643" s="27" t="s">
        <v>716</v>
      </c>
      <c r="B643" t="s">
        <v>746</v>
      </c>
      <c r="C643" s="28">
        <v>0.25</v>
      </c>
      <c r="D643" s="22">
        <v>500</v>
      </c>
      <c r="E643" s="37">
        <v>48.6</v>
      </c>
      <c r="F643">
        <v>960</v>
      </c>
      <c r="G643" s="27">
        <v>20.8</v>
      </c>
      <c r="H643" s="24">
        <f t="shared" si="71"/>
        <v>0.83834702534002492</v>
      </c>
      <c r="I643" s="25">
        <f t="shared" si="72"/>
        <v>0.33254132067228814</v>
      </c>
      <c r="J643" s="24">
        <f t="shared" si="73"/>
        <v>0.68785829824284184</v>
      </c>
      <c r="K643" s="14">
        <v>0.51</v>
      </c>
      <c r="L643" s="27">
        <v>2.67</v>
      </c>
      <c r="M643" s="27">
        <v>1.84</v>
      </c>
      <c r="N643" s="4">
        <f t="shared" si="51"/>
        <v>1.451086956521739</v>
      </c>
      <c r="O643" s="20">
        <f t="shared" si="52"/>
        <v>10.68</v>
      </c>
      <c r="P643">
        <f t="shared" si="70"/>
        <v>1531.3329230769234</v>
      </c>
    </row>
    <row r="644" spans="1:16">
      <c r="A644" s="27" t="s">
        <v>717</v>
      </c>
      <c r="B644" t="s">
        <v>746</v>
      </c>
      <c r="C644" s="28">
        <v>0.25</v>
      </c>
      <c r="D644" s="22">
        <v>250</v>
      </c>
      <c r="E644" s="37">
        <v>48.6</v>
      </c>
      <c r="F644">
        <v>960</v>
      </c>
      <c r="G644" s="27">
        <v>20.8</v>
      </c>
      <c r="H644" s="24">
        <f t="shared" si="71"/>
        <v>0.41917351267001246</v>
      </c>
      <c r="I644" s="25">
        <f t="shared" si="72"/>
        <v>8.3135330168072036E-2</v>
      </c>
      <c r="J644" s="24">
        <f t="shared" si="73"/>
        <v>0.68785829824284184</v>
      </c>
      <c r="K644" s="14">
        <v>0.51</v>
      </c>
      <c r="L644" s="27">
        <v>2.68</v>
      </c>
      <c r="M644" s="27">
        <v>1.84</v>
      </c>
      <c r="N644" s="4">
        <f t="shared" si="51"/>
        <v>1.4565217391304348</v>
      </c>
      <c r="O644" s="20">
        <f t="shared" si="52"/>
        <v>10.72</v>
      </c>
      <c r="P644">
        <f t="shared" ref="P644:P707" si="74">F644*M644*M644*9.8/G644</f>
        <v>1531.3329230769234</v>
      </c>
    </row>
    <row r="645" spans="1:16">
      <c r="A645" s="27" t="s">
        <v>718</v>
      </c>
      <c r="B645" t="s">
        <v>746</v>
      </c>
      <c r="C645" s="28">
        <v>0.25</v>
      </c>
      <c r="D645" s="22">
        <v>100</v>
      </c>
      <c r="E645" s="37">
        <v>48.6</v>
      </c>
      <c r="F645">
        <v>960</v>
      </c>
      <c r="G645" s="27">
        <v>20.8</v>
      </c>
      <c r="H645" s="24">
        <f t="shared" si="71"/>
        <v>0.16766940506800496</v>
      </c>
      <c r="I645" s="25">
        <f t="shared" si="72"/>
        <v>1.3301652826891523E-2</v>
      </c>
      <c r="J645" s="24">
        <f t="shared" si="73"/>
        <v>0.68785829824284195</v>
      </c>
      <c r="K645" s="14">
        <v>0.51</v>
      </c>
      <c r="L645" s="27">
        <v>2.66</v>
      </c>
      <c r="M645" s="27">
        <v>1.76</v>
      </c>
      <c r="N645" s="4">
        <f t="shared" si="51"/>
        <v>1.5113636363636365</v>
      </c>
      <c r="O645" s="20">
        <f t="shared" si="52"/>
        <v>10.64</v>
      </c>
      <c r="P645">
        <f t="shared" si="74"/>
        <v>1401.0683076923078</v>
      </c>
    </row>
    <row r="646" spans="1:16">
      <c r="A646" s="27" t="s">
        <v>719</v>
      </c>
      <c r="B646" t="s">
        <v>746</v>
      </c>
      <c r="C646" s="28">
        <v>0.1</v>
      </c>
      <c r="D646" s="22">
        <v>2000</v>
      </c>
      <c r="E646" s="37">
        <v>48.6</v>
      </c>
      <c r="F646">
        <v>960</v>
      </c>
      <c r="G646" s="27">
        <v>20.8</v>
      </c>
      <c r="H646" s="24">
        <f t="shared" si="71"/>
        <v>8.383470253400251</v>
      </c>
      <c r="I646" s="25">
        <f t="shared" si="72"/>
        <v>83.135330168072045</v>
      </c>
      <c r="J646" s="24">
        <f t="shared" si="73"/>
        <v>1.0875994649473884</v>
      </c>
      <c r="K646" s="14">
        <v>0.24</v>
      </c>
      <c r="L646" s="27">
        <v>1.56</v>
      </c>
      <c r="M646" s="27">
        <v>1.33</v>
      </c>
      <c r="N646" s="4">
        <f t="shared" si="51"/>
        <v>1.1729323308270676</v>
      </c>
      <c r="O646" s="20">
        <f t="shared" si="52"/>
        <v>15.6</v>
      </c>
      <c r="P646">
        <f t="shared" si="74"/>
        <v>800.08707692307712</v>
      </c>
    </row>
    <row r="647" spans="1:16">
      <c r="A647" s="27" t="s">
        <v>720</v>
      </c>
      <c r="B647" t="s">
        <v>746</v>
      </c>
      <c r="C647" s="28">
        <v>0.1</v>
      </c>
      <c r="D647" s="22">
        <v>1750</v>
      </c>
      <c r="E647" s="37">
        <v>48.6</v>
      </c>
      <c r="F647">
        <v>960</v>
      </c>
      <c r="G647" s="27">
        <v>20.8</v>
      </c>
      <c r="H647" s="24">
        <f t="shared" si="71"/>
        <v>7.3355364717252192</v>
      </c>
      <c r="I647" s="25">
        <f t="shared" si="72"/>
        <v>63.650487159930144</v>
      </c>
      <c r="J647" s="24">
        <f t="shared" si="73"/>
        <v>1.0875994649473886</v>
      </c>
      <c r="K647" s="14">
        <v>0.24</v>
      </c>
      <c r="L647" s="27">
        <v>1.57</v>
      </c>
      <c r="M647" s="27">
        <v>1.31</v>
      </c>
      <c r="N647" s="4">
        <f t="shared" si="51"/>
        <v>1.1984732824427482</v>
      </c>
      <c r="O647" s="20">
        <f t="shared" si="52"/>
        <v>15.7</v>
      </c>
      <c r="P647">
        <f t="shared" si="74"/>
        <v>776.20523076923098</v>
      </c>
    </row>
    <row r="648" spans="1:16">
      <c r="A648" s="27" t="s">
        <v>721</v>
      </c>
      <c r="B648" t="s">
        <v>746</v>
      </c>
      <c r="C648" s="28">
        <v>0.1</v>
      </c>
      <c r="D648" s="22">
        <v>1500</v>
      </c>
      <c r="E648" s="37">
        <v>48.6</v>
      </c>
      <c r="F648">
        <v>960</v>
      </c>
      <c r="G648" s="27">
        <v>20.8</v>
      </c>
      <c r="H648" s="24">
        <f t="shared" si="71"/>
        <v>6.2876026900501873</v>
      </c>
      <c r="I648" s="25">
        <f t="shared" si="72"/>
        <v>46.763623219540513</v>
      </c>
      <c r="J648" s="24">
        <f t="shared" si="73"/>
        <v>1.0875994649473886</v>
      </c>
      <c r="K648" s="14">
        <v>0.24</v>
      </c>
      <c r="L648" s="27">
        <v>1.63</v>
      </c>
      <c r="M648" s="27">
        <v>1.37</v>
      </c>
      <c r="N648" s="4">
        <f t="shared" si="51"/>
        <v>1.18978102189781</v>
      </c>
      <c r="O648" s="20">
        <f t="shared" si="52"/>
        <v>16.299999999999997</v>
      </c>
      <c r="P648">
        <f t="shared" si="74"/>
        <v>848.93630769230799</v>
      </c>
    </row>
    <row r="649" spans="1:16">
      <c r="A649" s="27" t="s">
        <v>722</v>
      </c>
      <c r="B649" t="s">
        <v>746</v>
      </c>
      <c r="C649" s="28">
        <v>0.1</v>
      </c>
      <c r="D649" s="22">
        <v>1250</v>
      </c>
      <c r="E649" s="37">
        <v>48.6</v>
      </c>
      <c r="F649">
        <v>960</v>
      </c>
      <c r="G649" s="27">
        <v>20.8</v>
      </c>
      <c r="H649" s="24">
        <f t="shared" si="71"/>
        <v>5.2396689083751564</v>
      </c>
      <c r="I649" s="25">
        <f t="shared" si="72"/>
        <v>32.474738346903131</v>
      </c>
      <c r="J649" s="24">
        <f t="shared" si="73"/>
        <v>1.0875994649473884</v>
      </c>
      <c r="K649" s="14">
        <v>0.24</v>
      </c>
      <c r="L649" s="27">
        <v>1.61</v>
      </c>
      <c r="M649" s="27">
        <v>1.35</v>
      </c>
      <c r="N649" s="4">
        <f t="shared" si="51"/>
        <v>1.1925925925925926</v>
      </c>
      <c r="O649" s="20">
        <f t="shared" si="52"/>
        <v>16.100000000000001</v>
      </c>
      <c r="P649">
        <f t="shared" si="74"/>
        <v>824.33076923076931</v>
      </c>
    </row>
    <row r="650" spans="1:16">
      <c r="A650" s="27" t="s">
        <v>723</v>
      </c>
      <c r="B650" t="s">
        <v>746</v>
      </c>
      <c r="C650" s="28">
        <v>0.1</v>
      </c>
      <c r="D650" s="22">
        <v>1000</v>
      </c>
      <c r="E650" s="37">
        <v>48.6</v>
      </c>
      <c r="F650">
        <v>960</v>
      </c>
      <c r="G650" s="27">
        <v>20.8</v>
      </c>
      <c r="H650" s="24">
        <f t="shared" si="71"/>
        <v>4.1917351267001255</v>
      </c>
      <c r="I650" s="25">
        <f t="shared" si="72"/>
        <v>20.783832542018011</v>
      </c>
      <c r="J650" s="24">
        <f t="shared" si="73"/>
        <v>1.0875994649473884</v>
      </c>
      <c r="K650" s="14">
        <v>0.24</v>
      </c>
      <c r="L650" s="27">
        <v>1.67</v>
      </c>
      <c r="M650" s="27">
        <v>1.38</v>
      </c>
      <c r="N650" s="4">
        <f t="shared" si="51"/>
        <v>1.2101449275362319</v>
      </c>
      <c r="O650" s="20">
        <f t="shared" si="52"/>
        <v>16.7</v>
      </c>
      <c r="P650">
        <f t="shared" si="74"/>
        <v>861.37476923076918</v>
      </c>
    </row>
    <row r="651" spans="1:16">
      <c r="A651" s="27" t="s">
        <v>724</v>
      </c>
      <c r="B651" t="s">
        <v>746</v>
      </c>
      <c r="C651" s="28">
        <v>0.1</v>
      </c>
      <c r="D651" s="22">
        <v>750</v>
      </c>
      <c r="E651" s="37">
        <v>48.6</v>
      </c>
      <c r="F651">
        <v>960</v>
      </c>
      <c r="G651" s="27">
        <v>20.8</v>
      </c>
      <c r="H651" s="24">
        <f t="shared" si="71"/>
        <v>3.1438013450250937</v>
      </c>
      <c r="I651" s="25">
        <f t="shared" si="72"/>
        <v>11.690905804885128</v>
      </c>
      <c r="J651" s="24">
        <f t="shared" si="73"/>
        <v>1.0875994649473886</v>
      </c>
      <c r="K651" s="14">
        <v>0.24</v>
      </c>
      <c r="L651" s="27">
        <v>1.71</v>
      </c>
      <c r="M651" s="27">
        <v>1.43</v>
      </c>
      <c r="N651" s="4">
        <f t="shared" si="51"/>
        <v>1.1958041958041958</v>
      </c>
      <c r="O651" s="20">
        <f t="shared" si="52"/>
        <v>17.099999999999998</v>
      </c>
      <c r="P651">
        <f t="shared" si="74"/>
        <v>924.92399999999998</v>
      </c>
    </row>
    <row r="652" spans="1:16">
      <c r="A652" s="27" t="s">
        <v>725</v>
      </c>
      <c r="B652" t="s">
        <v>746</v>
      </c>
      <c r="C652" s="28">
        <v>0.1</v>
      </c>
      <c r="D652" s="22">
        <v>500</v>
      </c>
      <c r="E652" s="37">
        <v>48.6</v>
      </c>
      <c r="F652">
        <v>960</v>
      </c>
      <c r="G652" s="27">
        <v>20.8</v>
      </c>
      <c r="H652" s="24">
        <f t="shared" si="71"/>
        <v>2.0958675633500627</v>
      </c>
      <c r="I652" s="25">
        <f t="shared" si="72"/>
        <v>5.1959581355045028</v>
      </c>
      <c r="J652" s="24">
        <f t="shared" si="73"/>
        <v>1.0875994649473884</v>
      </c>
      <c r="K652" s="14">
        <v>0.24</v>
      </c>
      <c r="L652" s="27">
        <v>1.71</v>
      </c>
      <c r="M652" s="27">
        <v>1.42</v>
      </c>
      <c r="N652" s="4">
        <f t="shared" si="51"/>
        <v>1.204225352112676</v>
      </c>
      <c r="O652" s="20">
        <f t="shared" si="52"/>
        <v>17.099999999999998</v>
      </c>
      <c r="P652">
        <f t="shared" si="74"/>
        <v>912.03323076923073</v>
      </c>
    </row>
    <row r="653" spans="1:16">
      <c r="A653" s="27" t="s">
        <v>726</v>
      </c>
      <c r="B653" t="s">
        <v>746</v>
      </c>
      <c r="C653" s="28">
        <v>0.1</v>
      </c>
      <c r="D653" s="22">
        <v>250</v>
      </c>
      <c r="E653" s="37">
        <v>48.6</v>
      </c>
      <c r="F653">
        <v>960</v>
      </c>
      <c r="G653" s="27">
        <v>20.8</v>
      </c>
      <c r="H653" s="24">
        <f t="shared" si="71"/>
        <v>1.0479337816750314</v>
      </c>
      <c r="I653" s="25">
        <f t="shared" si="72"/>
        <v>1.2989895338761257</v>
      </c>
      <c r="J653" s="24">
        <f t="shared" si="73"/>
        <v>1.0875994649473884</v>
      </c>
      <c r="K653" s="14">
        <v>0.24</v>
      </c>
      <c r="L653" s="27">
        <v>1.62</v>
      </c>
      <c r="M653" s="27">
        <v>1.33</v>
      </c>
      <c r="N653" s="4">
        <f t="shared" si="51"/>
        <v>1.2180451127819549</v>
      </c>
      <c r="O653" s="20">
        <f t="shared" si="52"/>
        <v>16.2</v>
      </c>
      <c r="P653">
        <f t="shared" si="74"/>
        <v>800.08707692307712</v>
      </c>
    </row>
    <row r="654" spans="1:16">
      <c r="A654" s="27" t="s">
        <v>727</v>
      </c>
      <c r="B654" t="s">
        <v>746</v>
      </c>
      <c r="C654" s="28">
        <v>0.1</v>
      </c>
      <c r="D654" s="22">
        <v>100</v>
      </c>
      <c r="E654" s="37">
        <v>48.6</v>
      </c>
      <c r="F654">
        <v>960</v>
      </c>
      <c r="G654" s="27">
        <v>20.8</v>
      </c>
      <c r="H654" s="24">
        <f t="shared" si="71"/>
        <v>0.41917351267001252</v>
      </c>
      <c r="I654" s="25">
        <f t="shared" si="72"/>
        <v>0.20783832542018008</v>
      </c>
      <c r="J654" s="24">
        <f t="shared" si="73"/>
        <v>1.0875994649473886</v>
      </c>
      <c r="K654" s="14">
        <v>0.24</v>
      </c>
      <c r="L654" s="27">
        <v>1.64</v>
      </c>
      <c r="M654" s="27">
        <v>1.36</v>
      </c>
      <c r="N654" s="4">
        <f t="shared" si="51"/>
        <v>1.2058823529411764</v>
      </c>
      <c r="O654" s="20">
        <f t="shared" si="52"/>
        <v>16.399999999999999</v>
      </c>
      <c r="P654">
        <f t="shared" si="74"/>
        <v>836.58830769230769</v>
      </c>
    </row>
    <row r="655" spans="1:16">
      <c r="A655" s="27" t="s">
        <v>728</v>
      </c>
      <c r="B655" t="s">
        <v>749</v>
      </c>
      <c r="C655" s="28">
        <v>0.25</v>
      </c>
      <c r="D655" s="22">
        <v>2000</v>
      </c>
      <c r="E655" s="26">
        <v>348</v>
      </c>
      <c r="F655">
        <v>969</v>
      </c>
      <c r="G655" s="27">
        <v>21.1</v>
      </c>
      <c r="H655" s="24">
        <f t="shared" si="71"/>
        <v>0.47270847465454896</v>
      </c>
      <c r="I655" s="25">
        <f t="shared" si="72"/>
        <v>5.2941839071201446</v>
      </c>
      <c r="J655" s="24">
        <f t="shared" si="73"/>
        <v>4.8675018296147821</v>
      </c>
      <c r="K655" s="14">
        <v>0.51</v>
      </c>
      <c r="L655" s="27">
        <v>4.3099999999999996</v>
      </c>
      <c r="M655" s="27">
        <v>1.59</v>
      </c>
      <c r="N655" s="4">
        <f t="shared" si="51"/>
        <v>2.7106918238993707</v>
      </c>
      <c r="O655" s="20">
        <f t="shared" si="52"/>
        <v>17.239999999999998</v>
      </c>
      <c r="P655">
        <f t="shared" si="74"/>
        <v>1137.7887781990521</v>
      </c>
    </row>
    <row r="656" spans="1:16">
      <c r="A656" s="27" t="s">
        <v>729</v>
      </c>
      <c r="B656" t="s">
        <v>749</v>
      </c>
      <c r="C656" s="28">
        <v>0.25</v>
      </c>
      <c r="D656" s="22">
        <v>1750</v>
      </c>
      <c r="E656" s="26">
        <v>348</v>
      </c>
      <c r="F656">
        <v>969</v>
      </c>
      <c r="G656" s="27">
        <v>21.1</v>
      </c>
      <c r="H656" s="24">
        <f t="shared" si="71"/>
        <v>0.41361991532273035</v>
      </c>
      <c r="I656" s="25">
        <f t="shared" si="72"/>
        <v>4.0533595538888596</v>
      </c>
      <c r="J656" s="24">
        <f t="shared" si="73"/>
        <v>4.8675018296147812</v>
      </c>
      <c r="K656" s="14">
        <v>0.51</v>
      </c>
      <c r="L656" s="27">
        <v>4.3499999999999996</v>
      </c>
      <c r="M656" s="27">
        <v>1.65</v>
      </c>
      <c r="N656" s="4">
        <f t="shared" ref="N656:N842" si="75">L656/M656</f>
        <v>2.6363636363636362</v>
      </c>
      <c r="O656" s="20">
        <f t="shared" ref="O656:O842" si="76">L656/C656</f>
        <v>17.399999999999999</v>
      </c>
      <c r="P656">
        <f t="shared" si="74"/>
        <v>1225.2798341232226</v>
      </c>
    </row>
    <row r="657" spans="1:16">
      <c r="A657" s="27" t="s">
        <v>730</v>
      </c>
      <c r="B657" t="s">
        <v>749</v>
      </c>
      <c r="C657" s="28">
        <v>0.25</v>
      </c>
      <c r="D657" s="22">
        <v>1500</v>
      </c>
      <c r="E657" s="26">
        <v>348</v>
      </c>
      <c r="F657">
        <v>969</v>
      </c>
      <c r="G657" s="27">
        <v>21.1</v>
      </c>
      <c r="H657" s="24">
        <f t="shared" si="71"/>
        <v>0.35453135599091168</v>
      </c>
      <c r="I657" s="25">
        <f t="shared" si="72"/>
        <v>2.9779784477550804</v>
      </c>
      <c r="J657" s="24">
        <f t="shared" si="73"/>
        <v>4.8675018296147812</v>
      </c>
      <c r="K657" s="14">
        <v>0.51</v>
      </c>
      <c r="L657" s="27">
        <v>4.1399999999999997</v>
      </c>
      <c r="M657" s="27">
        <v>1.68</v>
      </c>
      <c r="N657" s="4">
        <f t="shared" si="75"/>
        <v>2.464285714285714</v>
      </c>
      <c r="O657" s="20">
        <f t="shared" si="76"/>
        <v>16.559999999999999</v>
      </c>
      <c r="P657">
        <f t="shared" si="74"/>
        <v>1270.2405156398102</v>
      </c>
    </row>
    <row r="658" spans="1:16">
      <c r="A658" s="27" t="s">
        <v>731</v>
      </c>
      <c r="B658" t="s">
        <v>749</v>
      </c>
      <c r="C658" s="28">
        <v>0.25</v>
      </c>
      <c r="D658" s="22">
        <v>1250</v>
      </c>
      <c r="E658" s="26">
        <v>348</v>
      </c>
      <c r="F658">
        <v>969</v>
      </c>
      <c r="G658" s="27">
        <v>21.1</v>
      </c>
      <c r="H658" s="24">
        <f t="shared" ref="H658:H721" si="77">(4/60*F658*D658*10^(-9))/(PI()*C658*E658*10^(-6))</f>
        <v>0.29544279665909312</v>
      </c>
      <c r="I658" s="25">
        <f t="shared" si="72"/>
        <v>2.068040588718806</v>
      </c>
      <c r="J658" s="24">
        <f t="shared" si="73"/>
        <v>4.8675018296147812</v>
      </c>
      <c r="K658" s="14">
        <v>0.51</v>
      </c>
      <c r="L658" s="27">
        <v>4.5</v>
      </c>
      <c r="M658" s="27">
        <v>1.78</v>
      </c>
      <c r="N658" s="4">
        <f t="shared" si="75"/>
        <v>2.5280898876404496</v>
      </c>
      <c r="O658" s="20">
        <f t="shared" si="76"/>
        <v>18</v>
      </c>
      <c r="P658">
        <f t="shared" si="74"/>
        <v>1425.9601933649287</v>
      </c>
    </row>
    <row r="659" spans="1:16">
      <c r="A659" s="27" t="s">
        <v>732</v>
      </c>
      <c r="B659" t="s">
        <v>748</v>
      </c>
      <c r="C659" s="28">
        <v>0.25</v>
      </c>
      <c r="D659" s="22">
        <v>1000</v>
      </c>
      <c r="E659" s="26">
        <v>348</v>
      </c>
      <c r="F659">
        <v>969</v>
      </c>
      <c r="G659" s="27">
        <v>21.1</v>
      </c>
      <c r="H659" s="24">
        <f t="shared" si="77"/>
        <v>0.23635423732727448</v>
      </c>
      <c r="I659" s="25">
        <f t="shared" si="72"/>
        <v>1.3235459767800362</v>
      </c>
      <c r="J659" s="24">
        <f t="shared" si="73"/>
        <v>4.8675018296147821</v>
      </c>
      <c r="K659" s="14">
        <v>0.51</v>
      </c>
      <c r="L659" s="27">
        <v>4.2699999999999996</v>
      </c>
      <c r="M659" s="27">
        <v>1.72</v>
      </c>
      <c r="N659" s="4">
        <f t="shared" si="75"/>
        <v>2.4825581395348837</v>
      </c>
      <c r="O659" s="20">
        <f t="shared" si="76"/>
        <v>17.079999999999998</v>
      </c>
      <c r="P659">
        <f t="shared" si="74"/>
        <v>1331.4482502369669</v>
      </c>
    </row>
    <row r="660" spans="1:16">
      <c r="A660" s="27" t="s">
        <v>733</v>
      </c>
      <c r="B660" t="s">
        <v>748</v>
      </c>
      <c r="C660" s="28">
        <v>0.25</v>
      </c>
      <c r="D660" s="22">
        <v>750</v>
      </c>
      <c r="E660" s="26">
        <v>348</v>
      </c>
      <c r="F660">
        <v>969</v>
      </c>
      <c r="G660" s="27">
        <v>21.1</v>
      </c>
      <c r="H660" s="24">
        <f t="shared" si="77"/>
        <v>0.17726567799545584</v>
      </c>
      <c r="I660" s="25">
        <f t="shared" si="72"/>
        <v>0.74449461193877009</v>
      </c>
      <c r="J660" s="24">
        <f t="shared" si="73"/>
        <v>4.8675018296147812</v>
      </c>
      <c r="K660" s="14">
        <v>0.51</v>
      </c>
      <c r="L660" s="27">
        <v>3.79</v>
      </c>
      <c r="M660" s="27">
        <v>1.69</v>
      </c>
      <c r="N660" s="4">
        <f t="shared" si="75"/>
        <v>2.2426035502958581</v>
      </c>
      <c r="O660" s="20">
        <f t="shared" si="76"/>
        <v>15.16</v>
      </c>
      <c r="P660">
        <f t="shared" si="74"/>
        <v>1285.4074322274882</v>
      </c>
    </row>
    <row r="661" spans="1:16">
      <c r="A661" s="27" t="s">
        <v>734</v>
      </c>
      <c r="B661" t="s">
        <v>748</v>
      </c>
      <c r="C661" s="28">
        <v>0.25</v>
      </c>
      <c r="D661" s="22">
        <v>500</v>
      </c>
      <c r="E661" s="26">
        <v>348</v>
      </c>
      <c r="F661">
        <v>969</v>
      </c>
      <c r="G661" s="27">
        <v>21.1</v>
      </c>
      <c r="H661" s="24">
        <f t="shared" si="77"/>
        <v>0.11817711866363724</v>
      </c>
      <c r="I661" s="25">
        <f t="shared" si="72"/>
        <v>0.33088649419500904</v>
      </c>
      <c r="J661" s="24">
        <f t="shared" si="73"/>
        <v>4.8675018296147821</v>
      </c>
      <c r="K661" s="14">
        <v>0.51</v>
      </c>
      <c r="L661" s="27">
        <v>4.09</v>
      </c>
      <c r="M661" s="27">
        <v>1.71</v>
      </c>
      <c r="N661" s="4">
        <f t="shared" si="75"/>
        <v>2.3918128654970761</v>
      </c>
      <c r="O661" s="20">
        <f t="shared" si="76"/>
        <v>16.36</v>
      </c>
      <c r="P661">
        <f t="shared" si="74"/>
        <v>1316.0112995260663</v>
      </c>
    </row>
    <row r="662" spans="1:16">
      <c r="A662" s="27" t="s">
        <v>735</v>
      </c>
      <c r="B662" t="s">
        <v>748</v>
      </c>
      <c r="C662" s="28">
        <v>0.25</v>
      </c>
      <c r="D662" s="22">
        <v>250</v>
      </c>
      <c r="E662" s="26">
        <v>348</v>
      </c>
      <c r="F662">
        <v>969</v>
      </c>
      <c r="G662" s="27">
        <v>21.1</v>
      </c>
      <c r="H662" s="24">
        <f t="shared" si="77"/>
        <v>5.908855933181862E-2</v>
      </c>
      <c r="I662" s="25">
        <f t="shared" si="72"/>
        <v>8.272162354875226E-2</v>
      </c>
      <c r="J662" s="24">
        <f t="shared" si="73"/>
        <v>4.8675018296147821</v>
      </c>
      <c r="K662" s="14">
        <v>0.51</v>
      </c>
      <c r="L662" s="27">
        <v>3.88</v>
      </c>
      <c r="M662" s="27">
        <v>1.68</v>
      </c>
      <c r="N662" s="4">
        <f t="shared" si="75"/>
        <v>2.3095238095238098</v>
      </c>
      <c r="O662" s="20">
        <f t="shared" si="76"/>
        <v>15.52</v>
      </c>
      <c r="P662">
        <f t="shared" si="74"/>
        <v>1270.2405156398102</v>
      </c>
    </row>
    <row r="663" spans="1:16">
      <c r="A663" s="27" t="s">
        <v>736</v>
      </c>
      <c r="B663" t="s">
        <v>748</v>
      </c>
      <c r="C663" s="28">
        <v>0.25</v>
      </c>
      <c r="D663" s="22">
        <v>100</v>
      </c>
      <c r="E663" s="26">
        <v>348</v>
      </c>
      <c r="F663">
        <v>969</v>
      </c>
      <c r="G663" s="27">
        <v>21.1</v>
      </c>
      <c r="H663" s="24">
        <f t="shared" si="77"/>
        <v>2.3635423732727444E-2</v>
      </c>
      <c r="I663" s="25">
        <f t="shared" si="72"/>
        <v>1.3235459767800361E-2</v>
      </c>
      <c r="J663" s="24">
        <f t="shared" si="73"/>
        <v>4.8675018296147821</v>
      </c>
      <c r="K663" s="14">
        <v>0.51</v>
      </c>
      <c r="L663" s="27">
        <v>4.08</v>
      </c>
      <c r="M663" s="27">
        <v>1.71</v>
      </c>
      <c r="N663" s="4">
        <f t="shared" si="75"/>
        <v>2.3859649122807021</v>
      </c>
      <c r="O663" s="20">
        <f t="shared" si="76"/>
        <v>16.32</v>
      </c>
      <c r="P663">
        <f t="shared" si="74"/>
        <v>1316.0112995260663</v>
      </c>
    </row>
    <row r="664" spans="1:16">
      <c r="A664" s="27" t="s">
        <v>737</v>
      </c>
      <c r="B664" t="s">
        <v>748</v>
      </c>
      <c r="C664" s="28">
        <v>0.83</v>
      </c>
      <c r="D664" s="22">
        <v>2000</v>
      </c>
      <c r="E664" s="26">
        <v>348</v>
      </c>
      <c r="F664">
        <v>969</v>
      </c>
      <c r="G664" s="27">
        <v>21.1</v>
      </c>
      <c r="H664" s="24">
        <f t="shared" si="77"/>
        <v>0.14238207067908101</v>
      </c>
      <c r="I664" s="25">
        <f t="shared" si="72"/>
        <v>0.14467209563832734</v>
      </c>
      <c r="J664" s="24">
        <f t="shared" si="73"/>
        <v>2.6713886816306518</v>
      </c>
      <c r="K664" s="14">
        <v>1.27</v>
      </c>
      <c r="L664" s="27">
        <v>22.68</v>
      </c>
      <c r="M664" s="27">
        <v>2.16</v>
      </c>
      <c r="N664" s="4">
        <f t="shared" si="75"/>
        <v>10.5</v>
      </c>
      <c r="O664" s="20">
        <f t="shared" si="76"/>
        <v>27.325301204819279</v>
      </c>
      <c r="P664">
        <f t="shared" si="74"/>
        <v>2099.7853421800951</v>
      </c>
    </row>
    <row r="665" spans="1:16">
      <c r="A665" s="27" t="s">
        <v>738</v>
      </c>
      <c r="B665" t="s">
        <v>748</v>
      </c>
      <c r="C665" s="28">
        <v>0.83</v>
      </c>
      <c r="D665" s="22">
        <v>1750</v>
      </c>
      <c r="E665" s="26">
        <v>348</v>
      </c>
      <c r="F665">
        <v>969</v>
      </c>
      <c r="G665" s="27">
        <v>21.1</v>
      </c>
      <c r="H665" s="24">
        <f t="shared" si="77"/>
        <v>0.12458431184419588</v>
      </c>
      <c r="I665" s="25">
        <f t="shared" si="72"/>
        <v>0.11076457322309434</v>
      </c>
      <c r="J665" s="24">
        <f t="shared" si="73"/>
        <v>2.6713886816306518</v>
      </c>
      <c r="K665" s="14">
        <v>1.27</v>
      </c>
      <c r="L665" s="27">
        <v>22.01</v>
      </c>
      <c r="M665" s="27">
        <v>1.99</v>
      </c>
      <c r="N665" s="4">
        <f t="shared" si="75"/>
        <v>11.060301507537689</v>
      </c>
      <c r="O665" s="20">
        <f t="shared" si="76"/>
        <v>26.518072289156631</v>
      </c>
      <c r="P665">
        <f t="shared" si="74"/>
        <v>1782.2702189573461</v>
      </c>
    </row>
    <row r="666" spans="1:16">
      <c r="A666" s="27" t="s">
        <v>739</v>
      </c>
      <c r="B666" t="s">
        <v>748</v>
      </c>
      <c r="C666" s="28">
        <v>0.83</v>
      </c>
      <c r="D666" s="22">
        <v>1500</v>
      </c>
      <c r="E666" s="26">
        <v>348</v>
      </c>
      <c r="F666">
        <v>969</v>
      </c>
      <c r="G666" s="27">
        <v>21.1</v>
      </c>
      <c r="H666" s="24">
        <f t="shared" si="77"/>
        <v>0.10678655300931075</v>
      </c>
      <c r="I666" s="25">
        <f t="shared" si="72"/>
        <v>8.1378053796559102E-2</v>
      </c>
      <c r="J666" s="24">
        <f t="shared" si="73"/>
        <v>2.6713886816306518</v>
      </c>
      <c r="K666" s="14">
        <v>1.27</v>
      </c>
      <c r="L666" s="27">
        <v>23.23</v>
      </c>
      <c r="M666" s="27">
        <v>2.06</v>
      </c>
      <c r="N666" s="4">
        <f t="shared" si="75"/>
        <v>11.276699029126213</v>
      </c>
      <c r="O666" s="20">
        <f t="shared" si="76"/>
        <v>27.987951807228917</v>
      </c>
      <c r="P666">
        <f t="shared" si="74"/>
        <v>1909.8613421800949</v>
      </c>
    </row>
    <row r="667" spans="1:16">
      <c r="A667" s="27" t="s">
        <v>740</v>
      </c>
      <c r="B667" t="s">
        <v>748</v>
      </c>
      <c r="C667" s="28">
        <v>0.83</v>
      </c>
      <c r="D667" s="22">
        <v>1250</v>
      </c>
      <c r="E667" s="26">
        <v>348</v>
      </c>
      <c r="F667">
        <v>969</v>
      </c>
      <c r="G667" s="27">
        <v>21.1</v>
      </c>
      <c r="H667" s="24">
        <f t="shared" si="77"/>
        <v>8.8988794174425637E-2</v>
      </c>
      <c r="I667" s="25">
        <f t="shared" si="72"/>
        <v>5.6512537358721603E-2</v>
      </c>
      <c r="J667" s="24">
        <f t="shared" si="73"/>
        <v>2.6713886816306514</v>
      </c>
      <c r="K667" s="14">
        <v>1.27</v>
      </c>
      <c r="L667" s="27">
        <v>22.35</v>
      </c>
      <c r="M667" s="27">
        <v>2.04</v>
      </c>
      <c r="N667" s="4">
        <f t="shared" si="75"/>
        <v>10.955882352941178</v>
      </c>
      <c r="O667" s="20">
        <f t="shared" si="76"/>
        <v>26.927710843373497</v>
      </c>
      <c r="P667">
        <f t="shared" si="74"/>
        <v>1872.9566786729856</v>
      </c>
    </row>
    <row r="668" spans="1:16">
      <c r="A668" s="27" t="s">
        <v>741</v>
      </c>
      <c r="B668" t="s">
        <v>748</v>
      </c>
      <c r="C668" s="28">
        <v>0.83</v>
      </c>
      <c r="D668" s="22">
        <v>1000</v>
      </c>
      <c r="E668" s="26">
        <v>348</v>
      </c>
      <c r="F668">
        <v>969</v>
      </c>
      <c r="G668" s="27">
        <v>21.1</v>
      </c>
      <c r="H668" s="24">
        <f t="shared" si="77"/>
        <v>7.1191035339540507E-2</v>
      </c>
      <c r="I668" s="25">
        <f t="shared" si="72"/>
        <v>3.6168023909581834E-2</v>
      </c>
      <c r="J668" s="24">
        <f t="shared" si="73"/>
        <v>2.6713886816306518</v>
      </c>
      <c r="K668" s="14">
        <v>1.27</v>
      </c>
      <c r="L668" s="27">
        <v>20.47</v>
      </c>
      <c r="M668" s="27">
        <v>2.04</v>
      </c>
      <c r="N668" s="4">
        <f t="shared" si="75"/>
        <v>10.034313725490195</v>
      </c>
      <c r="O668" s="20">
        <f t="shared" si="76"/>
        <v>24.662650602409638</v>
      </c>
      <c r="P668">
        <f t="shared" si="74"/>
        <v>1872.9566786729856</v>
      </c>
    </row>
    <row r="669" spans="1:16">
      <c r="A669" s="27" t="s">
        <v>742</v>
      </c>
      <c r="B669" t="s">
        <v>748</v>
      </c>
      <c r="C669" s="28">
        <v>0.83</v>
      </c>
      <c r="D669" s="22">
        <v>750</v>
      </c>
      <c r="E669" s="26">
        <v>348</v>
      </c>
      <c r="F669">
        <v>969</v>
      </c>
      <c r="G669" s="27">
        <v>21.1</v>
      </c>
      <c r="H669" s="24">
        <f t="shared" si="77"/>
        <v>5.3393276504655376E-2</v>
      </c>
      <c r="I669" s="25">
        <f t="shared" si="72"/>
        <v>2.0344513449139776E-2</v>
      </c>
      <c r="J669" s="24">
        <f t="shared" si="73"/>
        <v>2.6713886816306518</v>
      </c>
      <c r="K669" s="14">
        <v>1.27</v>
      </c>
      <c r="L669" s="27">
        <v>21.77</v>
      </c>
      <c r="M669" s="27">
        <v>2.0699999999999998</v>
      </c>
      <c r="N669" s="4">
        <f t="shared" si="75"/>
        <v>10.516908212560388</v>
      </c>
      <c r="O669" s="20">
        <f t="shared" si="76"/>
        <v>26.228915662650603</v>
      </c>
      <c r="P669">
        <f t="shared" si="74"/>
        <v>1928.4486909952604</v>
      </c>
    </row>
    <row r="670" spans="1:16">
      <c r="A670" s="27" t="s">
        <v>743</v>
      </c>
      <c r="B670" t="s">
        <v>748</v>
      </c>
      <c r="C670" s="28">
        <v>0.83</v>
      </c>
      <c r="D670" s="22">
        <v>500</v>
      </c>
      <c r="E670" s="26">
        <v>348</v>
      </c>
      <c r="F670">
        <v>969</v>
      </c>
      <c r="G670" s="27">
        <v>21.1</v>
      </c>
      <c r="H670" s="24">
        <f t="shared" si="77"/>
        <v>3.5595517669770253E-2</v>
      </c>
      <c r="I670" s="25">
        <f t="shared" si="72"/>
        <v>9.0420059773954585E-3</v>
      </c>
      <c r="J670" s="24">
        <f t="shared" si="73"/>
        <v>2.6713886816306518</v>
      </c>
      <c r="K670" s="14">
        <v>1.27</v>
      </c>
      <c r="L670" s="27">
        <v>20.69</v>
      </c>
      <c r="M670" s="27">
        <v>2.06</v>
      </c>
      <c r="N670" s="4">
        <f t="shared" si="75"/>
        <v>10.043689320388349</v>
      </c>
      <c r="O670" s="20">
        <f t="shared" si="76"/>
        <v>24.927710843373497</v>
      </c>
      <c r="P670">
        <f t="shared" si="74"/>
        <v>1909.8613421800949</v>
      </c>
    </row>
    <row r="671" spans="1:16">
      <c r="A671" s="27" t="s">
        <v>744</v>
      </c>
      <c r="B671" t="s">
        <v>748</v>
      </c>
      <c r="C671" s="28">
        <v>0.83</v>
      </c>
      <c r="D671" s="22">
        <v>250</v>
      </c>
      <c r="E671" s="26">
        <v>348</v>
      </c>
      <c r="F671">
        <v>969</v>
      </c>
      <c r="G671" s="27">
        <v>21.1</v>
      </c>
      <c r="H671" s="24">
        <f t="shared" si="77"/>
        <v>1.7797758834885127E-2</v>
      </c>
      <c r="I671" s="25">
        <f t="shared" si="72"/>
        <v>2.2605014943488646E-3</v>
      </c>
      <c r="J671" s="24">
        <f t="shared" si="73"/>
        <v>2.6713886816306518</v>
      </c>
      <c r="K671" s="14">
        <v>1.27</v>
      </c>
      <c r="L671" s="27">
        <v>18.47</v>
      </c>
      <c r="M671" s="27">
        <v>2.04</v>
      </c>
      <c r="N671" s="4">
        <f t="shared" si="75"/>
        <v>9.0539215686274499</v>
      </c>
      <c r="O671" s="20">
        <f t="shared" si="76"/>
        <v>22.253012048192772</v>
      </c>
      <c r="P671">
        <f t="shared" si="74"/>
        <v>1872.9566786729856</v>
      </c>
    </row>
    <row r="672" spans="1:16">
      <c r="A672" s="27" t="s">
        <v>745</v>
      </c>
      <c r="B672" t="s">
        <v>748</v>
      </c>
      <c r="C672" s="28">
        <v>0.83</v>
      </c>
      <c r="D672" s="22">
        <v>100</v>
      </c>
      <c r="E672" s="26">
        <v>348</v>
      </c>
      <c r="F672">
        <v>969</v>
      </c>
      <c r="G672" s="27">
        <v>21.1</v>
      </c>
      <c r="H672" s="24">
        <f t="shared" si="77"/>
        <v>7.1191035339540493E-3</v>
      </c>
      <c r="I672" s="25">
        <f t="shared" si="72"/>
        <v>3.6168023909581831E-4</v>
      </c>
      <c r="J672" s="24">
        <f t="shared" si="73"/>
        <v>2.6713886816306522</v>
      </c>
      <c r="K672" s="14">
        <v>1.27</v>
      </c>
      <c r="L672" s="27">
        <v>17.850000000000001</v>
      </c>
      <c r="M672" s="27">
        <v>2.04</v>
      </c>
      <c r="N672" s="4">
        <f t="shared" si="75"/>
        <v>8.75</v>
      </c>
      <c r="O672" s="20">
        <f t="shared" si="76"/>
        <v>21.506024096385545</v>
      </c>
      <c r="P672">
        <f t="shared" si="74"/>
        <v>1872.9566786729856</v>
      </c>
    </row>
    <row r="673" spans="1:16">
      <c r="A673" s="27" t="s">
        <v>750</v>
      </c>
      <c r="B673" s="26" t="s">
        <v>858</v>
      </c>
      <c r="C673" s="23">
        <v>2.38</v>
      </c>
      <c r="D673" s="22">
        <v>2000</v>
      </c>
      <c r="E673" s="26">
        <v>0.56999999999999995</v>
      </c>
      <c r="F673" s="26">
        <v>784</v>
      </c>
      <c r="G673" s="27">
        <v>22.3</v>
      </c>
      <c r="H673" s="24">
        <f t="shared" si="77"/>
        <v>24.527490369855222</v>
      </c>
      <c r="I673" s="25">
        <f t="shared" si="72"/>
        <v>4.6974055470370745E-3</v>
      </c>
      <c r="J673" s="24">
        <f t="shared" si="73"/>
        <v>2.7943185530006896E-3</v>
      </c>
      <c r="K673" s="14">
        <v>2.8</v>
      </c>
      <c r="L673" s="27">
        <v>9.3000000000000007</v>
      </c>
      <c r="M673" s="27">
        <v>2.9</v>
      </c>
      <c r="N673" s="4">
        <f t="shared" si="75"/>
        <v>3.2068965517241383</v>
      </c>
      <c r="O673" s="20">
        <f t="shared" si="76"/>
        <v>3.9075630252100844</v>
      </c>
      <c r="P673">
        <f t="shared" si="74"/>
        <v>2897.5655605381166</v>
      </c>
    </row>
    <row r="674" spans="1:16">
      <c r="A674" s="27" t="s">
        <v>751</v>
      </c>
      <c r="B674" s="26" t="s">
        <v>858</v>
      </c>
      <c r="C674" s="23">
        <v>2.38</v>
      </c>
      <c r="D674" s="22">
        <v>1750</v>
      </c>
      <c r="E674" s="26">
        <v>0.56999999999999995</v>
      </c>
      <c r="F674" s="26">
        <v>784</v>
      </c>
      <c r="G674" s="27">
        <v>22.3</v>
      </c>
      <c r="H674" s="24">
        <f t="shared" si="77"/>
        <v>21.461554073623322</v>
      </c>
      <c r="I674" s="25">
        <f t="shared" si="72"/>
        <v>3.5964511219502594E-3</v>
      </c>
      <c r="J674" s="24">
        <f t="shared" si="73"/>
        <v>2.7943185530006887E-3</v>
      </c>
      <c r="K674" s="14">
        <v>2.8</v>
      </c>
      <c r="L674" s="27">
        <v>9.41</v>
      </c>
      <c r="M674" s="27">
        <v>2.9</v>
      </c>
      <c r="N674" s="4">
        <f t="shared" si="75"/>
        <v>3.2448275862068967</v>
      </c>
      <c r="O674" s="20">
        <f t="shared" si="76"/>
        <v>3.9537815126050422</v>
      </c>
      <c r="P674">
        <f t="shared" si="74"/>
        <v>2897.5655605381166</v>
      </c>
    </row>
    <row r="675" spans="1:16">
      <c r="A675" s="27" t="s">
        <v>752</v>
      </c>
      <c r="B675" s="26" t="s">
        <v>858</v>
      </c>
      <c r="C675" s="23">
        <v>2.38</v>
      </c>
      <c r="D675" s="22">
        <v>1500</v>
      </c>
      <c r="E675" s="26">
        <v>0.56999999999999995</v>
      </c>
      <c r="F675" s="26">
        <v>784</v>
      </c>
      <c r="G675" s="27">
        <v>22.3</v>
      </c>
      <c r="H675" s="24">
        <f t="shared" si="77"/>
        <v>18.395617777391418</v>
      </c>
      <c r="I675" s="25">
        <f t="shared" si="72"/>
        <v>2.6422906202083533E-3</v>
      </c>
      <c r="J675" s="24">
        <f t="shared" si="73"/>
        <v>2.7943185530006883E-3</v>
      </c>
      <c r="K675" s="14">
        <v>2.8</v>
      </c>
      <c r="L675" s="27">
        <v>9.27</v>
      </c>
      <c r="M675" s="27">
        <v>2.9</v>
      </c>
      <c r="N675" s="4">
        <f t="shared" si="75"/>
        <v>3.1965517241379309</v>
      </c>
      <c r="O675" s="20">
        <f t="shared" si="76"/>
        <v>3.8949579831932772</v>
      </c>
      <c r="P675">
        <f t="shared" si="74"/>
        <v>2897.5655605381166</v>
      </c>
    </row>
    <row r="676" spans="1:16">
      <c r="A676" s="27" t="s">
        <v>753</v>
      </c>
      <c r="B676" s="26" t="s">
        <v>858</v>
      </c>
      <c r="C676" s="23">
        <v>2.38</v>
      </c>
      <c r="D676" s="22">
        <v>1250</v>
      </c>
      <c r="E676" s="26">
        <v>0.56999999999999995</v>
      </c>
      <c r="F676" s="26">
        <v>784</v>
      </c>
      <c r="G676" s="27">
        <v>22.3</v>
      </c>
      <c r="H676" s="24">
        <f t="shared" si="77"/>
        <v>15.329681481159517</v>
      </c>
      <c r="I676" s="25">
        <f t="shared" si="72"/>
        <v>1.8349240418113568E-3</v>
      </c>
      <c r="J676" s="24">
        <f t="shared" si="73"/>
        <v>2.7943185530006883E-3</v>
      </c>
      <c r="K676" s="14">
        <v>2.8</v>
      </c>
      <c r="L676" s="27">
        <v>9.08</v>
      </c>
      <c r="M676" s="27">
        <v>2.88</v>
      </c>
      <c r="N676" s="4">
        <f t="shared" si="75"/>
        <v>3.1527777777777781</v>
      </c>
      <c r="O676" s="20">
        <f t="shared" si="76"/>
        <v>3.8151260504201683</v>
      </c>
      <c r="P676">
        <f t="shared" si="74"/>
        <v>2857.7369542600895</v>
      </c>
    </row>
    <row r="677" spans="1:16">
      <c r="A677" s="27" t="s">
        <v>754</v>
      </c>
      <c r="B677" s="26" t="s">
        <v>858</v>
      </c>
      <c r="C677" s="23">
        <v>2.38</v>
      </c>
      <c r="D677" s="22">
        <v>1000</v>
      </c>
      <c r="E677" s="26">
        <v>0.56999999999999995</v>
      </c>
      <c r="F677" s="26">
        <v>784</v>
      </c>
      <c r="G677" s="27">
        <v>22.3</v>
      </c>
      <c r="H677" s="24">
        <f t="shared" si="77"/>
        <v>12.263745184927611</v>
      </c>
      <c r="I677" s="25">
        <f t="shared" si="72"/>
        <v>1.1743513867592686E-3</v>
      </c>
      <c r="J677" s="24">
        <f t="shared" si="73"/>
        <v>2.7943185530006896E-3</v>
      </c>
      <c r="K677" s="14">
        <v>2.8</v>
      </c>
      <c r="L677" s="27">
        <v>9.01</v>
      </c>
      <c r="M677" s="27">
        <v>2.89</v>
      </c>
      <c r="N677" s="4">
        <f t="shared" si="75"/>
        <v>3.117647058823529</v>
      </c>
      <c r="O677" s="20">
        <f t="shared" si="76"/>
        <v>3.7857142857142856</v>
      </c>
      <c r="P677">
        <f t="shared" si="74"/>
        <v>2877.6168035874448</v>
      </c>
    </row>
    <row r="678" spans="1:16">
      <c r="A678" s="27" t="s">
        <v>755</v>
      </c>
      <c r="B678" s="26" t="s">
        <v>858</v>
      </c>
      <c r="C678" s="23">
        <v>2.38</v>
      </c>
      <c r="D678" s="22">
        <v>750</v>
      </c>
      <c r="E678" s="26">
        <v>0.56999999999999995</v>
      </c>
      <c r="F678" s="26">
        <v>784</v>
      </c>
      <c r="G678" s="27">
        <v>22.3</v>
      </c>
      <c r="H678" s="24">
        <f t="shared" si="77"/>
        <v>9.1978088886957092</v>
      </c>
      <c r="I678" s="25">
        <f t="shared" si="72"/>
        <v>6.6057265505208831E-4</v>
      </c>
      <c r="J678" s="24">
        <f t="shared" si="73"/>
        <v>2.7943185530006883E-3</v>
      </c>
      <c r="K678" s="14">
        <v>2.8</v>
      </c>
      <c r="L678" s="27">
        <v>8.91</v>
      </c>
      <c r="M678" s="27">
        <v>2.88</v>
      </c>
      <c r="N678" s="4">
        <f t="shared" si="75"/>
        <v>3.09375</v>
      </c>
      <c r="O678" s="20">
        <f t="shared" si="76"/>
        <v>3.7436974789915967</v>
      </c>
      <c r="P678">
        <f t="shared" si="74"/>
        <v>2857.7369542600895</v>
      </c>
    </row>
    <row r="679" spans="1:16">
      <c r="A679" s="27" t="s">
        <v>756</v>
      </c>
      <c r="B679" s="26" t="s">
        <v>858</v>
      </c>
      <c r="C679" s="23">
        <v>2.38</v>
      </c>
      <c r="D679" s="22">
        <v>500</v>
      </c>
      <c r="E679" s="26">
        <v>0.56999999999999995</v>
      </c>
      <c r="F679" s="26">
        <v>784</v>
      </c>
      <c r="G679" s="27">
        <v>22.3</v>
      </c>
      <c r="H679" s="24">
        <f t="shared" si="77"/>
        <v>6.1318725924638056</v>
      </c>
      <c r="I679" s="25">
        <f t="shared" ref="I679:I742" si="78">(16 * F679 * (D679 * 10^-9 / 60)^2) / (PI()^2 * (C679 * 10^-3)^3 * (G679 * 10^-3))</f>
        <v>2.9358784668981715E-4</v>
      </c>
      <c r="J679" s="24">
        <f t="shared" ref="J679:J742" si="79">SQRT(I679)/H679</f>
        <v>2.7943185530006896E-3</v>
      </c>
      <c r="K679" s="14">
        <v>2.8</v>
      </c>
      <c r="L679" s="27">
        <v>8.93</v>
      </c>
      <c r="M679" s="27">
        <v>2.88</v>
      </c>
      <c r="N679" s="4">
        <f t="shared" si="75"/>
        <v>3.1006944444444446</v>
      </c>
      <c r="O679" s="20">
        <f t="shared" si="76"/>
        <v>3.7521008403361344</v>
      </c>
      <c r="P679">
        <f t="shared" si="74"/>
        <v>2857.7369542600895</v>
      </c>
    </row>
    <row r="680" spans="1:16">
      <c r="A680" s="27" t="s">
        <v>757</v>
      </c>
      <c r="B680" s="26" t="s">
        <v>858</v>
      </c>
      <c r="C680" s="23">
        <v>2.38</v>
      </c>
      <c r="D680" s="22">
        <v>250</v>
      </c>
      <c r="E680" s="26">
        <v>0.56999999999999995</v>
      </c>
      <c r="F680" s="26">
        <v>784</v>
      </c>
      <c r="G680" s="27">
        <v>22.3</v>
      </c>
      <c r="H680" s="24">
        <f t="shared" si="77"/>
        <v>3.0659362962319028</v>
      </c>
      <c r="I680" s="25">
        <f t="shared" si="78"/>
        <v>7.3396961672454289E-5</v>
      </c>
      <c r="J680" s="24">
        <f t="shared" si="79"/>
        <v>2.7943185530006896E-3</v>
      </c>
      <c r="K680" s="14">
        <v>2.8</v>
      </c>
      <c r="L680" s="27">
        <v>8.58</v>
      </c>
      <c r="M680" s="27">
        <v>2.86</v>
      </c>
      <c r="N680" s="4">
        <f t="shared" si="75"/>
        <v>3</v>
      </c>
      <c r="O680" s="20">
        <f t="shared" si="76"/>
        <v>3.6050420168067228</v>
      </c>
      <c r="P680">
        <f t="shared" si="74"/>
        <v>2818.1839784753361</v>
      </c>
    </row>
    <row r="681" spans="1:16">
      <c r="A681" s="27" t="s">
        <v>758</v>
      </c>
      <c r="B681" s="26" t="s">
        <v>858</v>
      </c>
      <c r="C681" s="23">
        <v>2.38</v>
      </c>
      <c r="D681" s="22">
        <v>100</v>
      </c>
      <c r="E681" s="26">
        <v>0.56999999999999995</v>
      </c>
      <c r="F681" s="26">
        <v>784</v>
      </c>
      <c r="G681" s="27">
        <v>22.3</v>
      </c>
      <c r="H681" s="24">
        <f t="shared" si="77"/>
        <v>1.2263745184927612</v>
      </c>
      <c r="I681" s="25">
        <f t="shared" si="78"/>
        <v>1.1743513867592686E-5</v>
      </c>
      <c r="J681" s="24">
        <f t="shared" si="79"/>
        <v>2.7943185530006891E-3</v>
      </c>
      <c r="K681" s="14">
        <v>2.8</v>
      </c>
      <c r="L681" s="27">
        <v>8.6</v>
      </c>
      <c r="M681" s="27">
        <v>2.87</v>
      </c>
      <c r="N681" s="4">
        <f t="shared" si="75"/>
        <v>2.9965156794425085</v>
      </c>
      <c r="O681" s="20">
        <f t="shared" si="76"/>
        <v>3.6134453781512605</v>
      </c>
      <c r="P681">
        <f t="shared" si="74"/>
        <v>2837.9260125560536</v>
      </c>
    </row>
    <row r="682" spans="1:16">
      <c r="A682" s="27" t="s">
        <v>759</v>
      </c>
      <c r="B682" s="26" t="s">
        <v>858</v>
      </c>
      <c r="C682" s="23">
        <v>1.79</v>
      </c>
      <c r="D682" s="22">
        <v>2000</v>
      </c>
      <c r="E682" s="26">
        <v>0.56999999999999995</v>
      </c>
      <c r="F682" s="26">
        <v>784</v>
      </c>
      <c r="G682" s="27">
        <v>22.3</v>
      </c>
      <c r="H682" s="24">
        <f t="shared" si="77"/>
        <v>32.611970435896879</v>
      </c>
      <c r="I682" s="25">
        <f t="shared" si="78"/>
        <v>1.1041544688799662E-2</v>
      </c>
      <c r="J682" s="24">
        <f t="shared" si="79"/>
        <v>3.2220915600347476E-3</v>
      </c>
      <c r="K682" s="14">
        <v>2.4</v>
      </c>
      <c r="L682" s="27">
        <v>8.4</v>
      </c>
      <c r="M682" s="27">
        <v>2.77</v>
      </c>
      <c r="N682" s="4">
        <f t="shared" si="75"/>
        <v>3.0324909747292419</v>
      </c>
      <c r="O682" s="20">
        <f t="shared" si="76"/>
        <v>4.6927374301675977</v>
      </c>
      <c r="P682">
        <f t="shared" si="74"/>
        <v>2643.6065147982058</v>
      </c>
    </row>
    <row r="683" spans="1:16">
      <c r="A683" s="27" t="s">
        <v>760</v>
      </c>
      <c r="B683" s="26" t="s">
        <v>858</v>
      </c>
      <c r="C683" s="23">
        <v>1.79</v>
      </c>
      <c r="D683" s="22">
        <v>1750</v>
      </c>
      <c r="E683" s="26">
        <v>0.56999999999999995</v>
      </c>
      <c r="F683" s="26">
        <v>784</v>
      </c>
      <c r="G683" s="27">
        <v>22.3</v>
      </c>
      <c r="H683" s="24">
        <f t="shared" si="77"/>
        <v>28.535474131409774</v>
      </c>
      <c r="I683" s="25">
        <f t="shared" si="78"/>
        <v>8.4536826523622394E-3</v>
      </c>
      <c r="J683" s="24">
        <f t="shared" si="79"/>
        <v>3.2220915600347463E-3</v>
      </c>
      <c r="K683" s="14">
        <v>2.4</v>
      </c>
      <c r="L683" s="27">
        <v>8.19</v>
      </c>
      <c r="M683" s="27">
        <v>2.76</v>
      </c>
      <c r="N683" s="4">
        <f t="shared" si="75"/>
        <v>2.9673913043478262</v>
      </c>
      <c r="O683" s="20">
        <f t="shared" si="76"/>
        <v>4.5754189944134076</v>
      </c>
      <c r="P683">
        <f t="shared" si="74"/>
        <v>2624.5535569506719</v>
      </c>
    </row>
    <row r="684" spans="1:16">
      <c r="A684" s="27" t="s">
        <v>761</v>
      </c>
      <c r="B684" s="26" t="s">
        <v>858</v>
      </c>
      <c r="C684" s="23">
        <v>1.79</v>
      </c>
      <c r="D684" s="22">
        <v>1500</v>
      </c>
      <c r="E684" s="26">
        <v>0.56999999999999995</v>
      </c>
      <c r="F684" s="26">
        <v>784</v>
      </c>
      <c r="G684" s="27">
        <v>22.3</v>
      </c>
      <c r="H684" s="24">
        <f t="shared" si="77"/>
        <v>24.458977826922663</v>
      </c>
      <c r="I684" s="25">
        <f t="shared" si="78"/>
        <v>6.2108688874498077E-3</v>
      </c>
      <c r="J684" s="24">
        <f t="shared" si="79"/>
        <v>3.2220915600347459E-3</v>
      </c>
      <c r="K684" s="14">
        <v>2.4</v>
      </c>
      <c r="L684" s="27">
        <v>7.99</v>
      </c>
      <c r="M684" s="27">
        <v>2.75</v>
      </c>
      <c r="N684" s="4">
        <f t="shared" si="75"/>
        <v>2.9054545454545457</v>
      </c>
      <c r="O684" s="20">
        <f t="shared" si="76"/>
        <v>4.4636871508379885</v>
      </c>
      <c r="P684">
        <f t="shared" si="74"/>
        <v>2605.5695067264573</v>
      </c>
    </row>
    <row r="685" spans="1:16">
      <c r="A685" s="27" t="s">
        <v>762</v>
      </c>
      <c r="B685" s="26" t="s">
        <v>858</v>
      </c>
      <c r="C685" s="23">
        <v>1.79</v>
      </c>
      <c r="D685" s="22">
        <v>1250</v>
      </c>
      <c r="E685" s="26">
        <v>0.56999999999999995</v>
      </c>
      <c r="F685" s="26">
        <v>784</v>
      </c>
      <c r="G685" s="27">
        <v>22.3</v>
      </c>
      <c r="H685" s="24">
        <f t="shared" si="77"/>
        <v>20.382481522435551</v>
      </c>
      <c r="I685" s="25">
        <f t="shared" si="78"/>
        <v>4.3131033940623665E-3</v>
      </c>
      <c r="J685" s="24">
        <f t="shared" si="79"/>
        <v>3.2220915600347463E-3</v>
      </c>
      <c r="K685" s="14">
        <v>2.4</v>
      </c>
      <c r="L685" s="27">
        <v>7.98</v>
      </c>
      <c r="M685" s="27">
        <v>2.74</v>
      </c>
      <c r="N685" s="4">
        <f t="shared" si="75"/>
        <v>2.9124087591240877</v>
      </c>
      <c r="O685" s="20">
        <f t="shared" si="76"/>
        <v>4.4581005586592184</v>
      </c>
      <c r="P685">
        <f t="shared" si="74"/>
        <v>2586.6543641255612</v>
      </c>
    </row>
    <row r="686" spans="1:16">
      <c r="A686" s="27" t="s">
        <v>763</v>
      </c>
      <c r="B686" s="26" t="s">
        <v>858</v>
      </c>
      <c r="C686" s="23">
        <v>1.79</v>
      </c>
      <c r="D686" s="22">
        <v>1000</v>
      </c>
      <c r="E686" s="26">
        <v>0.56999999999999995</v>
      </c>
      <c r="F686" s="26">
        <v>784</v>
      </c>
      <c r="G686" s="27">
        <v>22.3</v>
      </c>
      <c r="H686" s="24">
        <f t="shared" si="77"/>
        <v>16.305985217948439</v>
      </c>
      <c r="I686" s="25">
        <f t="shared" si="78"/>
        <v>2.7603861721999154E-3</v>
      </c>
      <c r="J686" s="24">
        <f t="shared" si="79"/>
        <v>3.2220915600347476E-3</v>
      </c>
      <c r="K686" s="14">
        <v>2.4</v>
      </c>
      <c r="L686" s="27">
        <v>7.9</v>
      </c>
      <c r="M686" s="27">
        <v>2.71</v>
      </c>
      <c r="N686" s="4">
        <f t="shared" si="75"/>
        <v>2.915129151291513</v>
      </c>
      <c r="O686" s="20">
        <f t="shared" si="76"/>
        <v>4.4134078212290504</v>
      </c>
      <c r="P686">
        <f t="shared" si="74"/>
        <v>2530.32238206278</v>
      </c>
    </row>
    <row r="687" spans="1:16">
      <c r="A687" s="27" t="s">
        <v>764</v>
      </c>
      <c r="B687" s="26" t="s">
        <v>858</v>
      </c>
      <c r="C687" s="23">
        <v>1.79</v>
      </c>
      <c r="D687" s="22">
        <v>750</v>
      </c>
      <c r="E687" s="26">
        <v>0.56999999999999995</v>
      </c>
      <c r="F687" s="26">
        <v>784</v>
      </c>
      <c r="G687" s="27">
        <v>22.3</v>
      </c>
      <c r="H687" s="24">
        <f t="shared" si="77"/>
        <v>12.229488913461331</v>
      </c>
      <c r="I687" s="25">
        <f t="shared" si="78"/>
        <v>1.5527172218624519E-3</v>
      </c>
      <c r="J687" s="24">
        <f t="shared" si="79"/>
        <v>3.2220915600347459E-3</v>
      </c>
      <c r="K687" s="14">
        <v>2.4</v>
      </c>
      <c r="L687" s="27">
        <v>7.79</v>
      </c>
      <c r="M687" s="27">
        <v>2.73</v>
      </c>
      <c r="N687" s="4">
        <f t="shared" si="75"/>
        <v>2.8534798534798536</v>
      </c>
      <c r="O687" s="20">
        <f t="shared" si="76"/>
        <v>4.3519553072625694</v>
      </c>
      <c r="P687">
        <f t="shared" si="74"/>
        <v>2567.8081291479821</v>
      </c>
    </row>
    <row r="688" spans="1:16">
      <c r="A688" s="27" t="s">
        <v>765</v>
      </c>
      <c r="B688" s="26" t="s">
        <v>858</v>
      </c>
      <c r="C688" s="23">
        <v>1.79</v>
      </c>
      <c r="D688" s="22">
        <v>500</v>
      </c>
      <c r="E688" s="26">
        <v>0.56999999999999995</v>
      </c>
      <c r="F688" s="26">
        <v>784</v>
      </c>
      <c r="G688" s="27">
        <v>22.3</v>
      </c>
      <c r="H688" s="24">
        <f t="shared" si="77"/>
        <v>8.1529926089742197</v>
      </c>
      <c r="I688" s="25">
        <f t="shared" si="78"/>
        <v>6.9009654304997886E-4</v>
      </c>
      <c r="J688" s="24">
        <f t="shared" si="79"/>
        <v>3.2220915600347476E-3</v>
      </c>
      <c r="K688" s="14">
        <v>2.4</v>
      </c>
      <c r="L688" s="27">
        <v>7.7</v>
      </c>
      <c r="M688" s="27">
        <v>2.71</v>
      </c>
      <c r="N688" s="4">
        <f t="shared" si="75"/>
        <v>2.841328413284133</v>
      </c>
      <c r="O688" s="20">
        <f t="shared" si="76"/>
        <v>4.3016759776536313</v>
      </c>
      <c r="P688">
        <f t="shared" si="74"/>
        <v>2530.32238206278</v>
      </c>
    </row>
    <row r="689" spans="1:16">
      <c r="A689" s="27" t="s">
        <v>766</v>
      </c>
      <c r="B689" s="26" t="s">
        <v>858</v>
      </c>
      <c r="C689" s="23">
        <v>1.79</v>
      </c>
      <c r="D689" s="22">
        <v>250</v>
      </c>
      <c r="E689" s="26">
        <v>0.56999999999999995</v>
      </c>
      <c r="F689" s="26">
        <v>784</v>
      </c>
      <c r="G689" s="27">
        <v>22.3</v>
      </c>
      <c r="H689" s="24">
        <f t="shared" si="77"/>
        <v>4.0764963044871099</v>
      </c>
      <c r="I689" s="25">
        <f t="shared" si="78"/>
        <v>1.7252413576249472E-4</v>
      </c>
      <c r="J689" s="24">
        <f t="shared" si="79"/>
        <v>3.2220915600347476E-3</v>
      </c>
      <c r="K689" s="14">
        <v>2.4</v>
      </c>
      <c r="L689" s="27">
        <v>7.66</v>
      </c>
      <c r="M689" s="27">
        <v>2.7</v>
      </c>
      <c r="N689" s="4">
        <f t="shared" si="75"/>
        <v>2.837037037037037</v>
      </c>
      <c r="O689" s="20">
        <f t="shared" si="76"/>
        <v>4.2793296089385473</v>
      </c>
      <c r="P689">
        <f t="shared" si="74"/>
        <v>2511.6828699551575</v>
      </c>
    </row>
    <row r="690" spans="1:16">
      <c r="A690" s="27" t="s">
        <v>767</v>
      </c>
      <c r="B690" s="26" t="s">
        <v>858</v>
      </c>
      <c r="C690" s="23">
        <v>1.79</v>
      </c>
      <c r="D690" s="22">
        <v>100</v>
      </c>
      <c r="E690" s="26">
        <v>0.56999999999999995</v>
      </c>
      <c r="F690" s="26">
        <v>784</v>
      </c>
      <c r="G690" s="27">
        <v>22.3</v>
      </c>
      <c r="H690" s="24">
        <f t="shared" si="77"/>
        <v>1.630598521794844</v>
      </c>
      <c r="I690" s="25">
        <f t="shared" si="78"/>
        <v>2.760386172199915E-5</v>
      </c>
      <c r="J690" s="24">
        <f t="shared" si="79"/>
        <v>3.2220915600347467E-3</v>
      </c>
      <c r="K690" s="14">
        <v>2.4</v>
      </c>
      <c r="L690" s="27">
        <v>7.43</v>
      </c>
      <c r="M690" s="27">
        <v>2.71</v>
      </c>
      <c r="N690" s="4">
        <f t="shared" si="75"/>
        <v>2.7416974169741697</v>
      </c>
      <c r="O690" s="20">
        <f t="shared" si="76"/>
        <v>4.1508379888268152</v>
      </c>
      <c r="P690">
        <f t="shared" si="74"/>
        <v>2530.32238206278</v>
      </c>
    </row>
    <row r="691" spans="1:16">
      <c r="A691" s="27" t="s">
        <v>768</v>
      </c>
      <c r="B691" s="26" t="s">
        <v>858</v>
      </c>
      <c r="C691" s="23">
        <v>1.37</v>
      </c>
      <c r="D691" s="22">
        <v>2000</v>
      </c>
      <c r="E691" s="26">
        <v>0.56999999999999995</v>
      </c>
      <c r="F691" s="26">
        <v>784</v>
      </c>
      <c r="G691" s="27">
        <v>22.3</v>
      </c>
      <c r="H691" s="24">
        <f t="shared" si="77"/>
        <v>42.609800788507599</v>
      </c>
      <c r="I691" s="25">
        <f t="shared" si="78"/>
        <v>2.4627891181769116E-2</v>
      </c>
      <c r="J691" s="24">
        <f t="shared" si="79"/>
        <v>3.6830202714255703E-3</v>
      </c>
      <c r="K691" s="14">
        <v>1.8</v>
      </c>
      <c r="L691" s="27">
        <v>6.48</v>
      </c>
      <c r="M691" s="27">
        <v>2.56</v>
      </c>
      <c r="N691" s="4">
        <f t="shared" si="75"/>
        <v>2.53125</v>
      </c>
      <c r="O691" s="20">
        <f t="shared" si="76"/>
        <v>4.7299270072992696</v>
      </c>
      <c r="P691">
        <f t="shared" si="74"/>
        <v>2257.9650008968611</v>
      </c>
    </row>
    <row r="692" spans="1:16">
      <c r="A692" s="27" t="s">
        <v>769</v>
      </c>
      <c r="B692" s="26" t="s">
        <v>858</v>
      </c>
      <c r="C692" s="23">
        <v>1.37</v>
      </c>
      <c r="D692" s="22">
        <v>1750</v>
      </c>
      <c r="E692" s="26">
        <v>0.56999999999999995</v>
      </c>
      <c r="F692" s="26">
        <v>784</v>
      </c>
      <c r="G692" s="27">
        <v>22.3</v>
      </c>
      <c r="H692" s="24">
        <f t="shared" si="77"/>
        <v>37.283575689944158</v>
      </c>
      <c r="I692" s="25">
        <f t="shared" si="78"/>
        <v>1.8855729186041975E-2</v>
      </c>
      <c r="J692" s="24">
        <f t="shared" si="79"/>
        <v>3.683020271425569E-3</v>
      </c>
      <c r="K692" s="14">
        <v>1.8</v>
      </c>
      <c r="L692" s="27">
        <v>6.37</v>
      </c>
      <c r="M692" s="27">
        <v>2.56</v>
      </c>
      <c r="N692" s="4">
        <f t="shared" si="75"/>
        <v>2.48828125</v>
      </c>
      <c r="O692" s="20">
        <f t="shared" si="76"/>
        <v>4.6496350364963499</v>
      </c>
      <c r="P692">
        <f t="shared" si="74"/>
        <v>2257.9650008968611</v>
      </c>
    </row>
    <row r="693" spans="1:16">
      <c r="A693" s="27" t="s">
        <v>770</v>
      </c>
      <c r="B693" s="26" t="s">
        <v>858</v>
      </c>
      <c r="C693" s="23">
        <v>1.37</v>
      </c>
      <c r="D693" s="22">
        <v>1500</v>
      </c>
      <c r="E693" s="26">
        <v>0.56999999999999995</v>
      </c>
      <c r="F693" s="26">
        <v>784</v>
      </c>
      <c r="G693" s="27">
        <v>22.3</v>
      </c>
      <c r="H693" s="24">
        <f t="shared" si="77"/>
        <v>31.957350591380706</v>
      </c>
      <c r="I693" s="25">
        <f t="shared" si="78"/>
        <v>1.3853188789745122E-2</v>
      </c>
      <c r="J693" s="24">
        <f t="shared" si="79"/>
        <v>3.6830202714255686E-3</v>
      </c>
      <c r="K693" s="14">
        <v>1.8</v>
      </c>
      <c r="L693" s="27">
        <v>6.33</v>
      </c>
      <c r="M693" s="27">
        <v>2.57</v>
      </c>
      <c r="N693" s="4">
        <f t="shared" si="75"/>
        <v>2.463035019455253</v>
      </c>
      <c r="O693" s="20">
        <f t="shared" si="76"/>
        <v>4.6204379562043796</v>
      </c>
      <c r="P693">
        <f t="shared" si="74"/>
        <v>2275.6398062780268</v>
      </c>
    </row>
    <row r="694" spans="1:16">
      <c r="A694" s="27" t="s">
        <v>771</v>
      </c>
      <c r="B694" s="26" t="s">
        <v>858</v>
      </c>
      <c r="C694" s="23">
        <v>1.37</v>
      </c>
      <c r="D694" s="22">
        <v>1250</v>
      </c>
      <c r="E694" s="26">
        <v>0.56999999999999995</v>
      </c>
      <c r="F694" s="26">
        <v>784</v>
      </c>
      <c r="G694" s="27">
        <v>22.3</v>
      </c>
      <c r="H694" s="24">
        <f t="shared" si="77"/>
        <v>26.631125492817254</v>
      </c>
      <c r="I694" s="25">
        <f t="shared" si="78"/>
        <v>9.6202699928785579E-3</v>
      </c>
      <c r="J694" s="24">
        <f t="shared" si="79"/>
        <v>3.683020271425569E-3</v>
      </c>
      <c r="K694" s="14">
        <v>1.8</v>
      </c>
      <c r="L694" s="27">
        <v>6.24</v>
      </c>
      <c r="M694" s="27">
        <v>2.57</v>
      </c>
      <c r="N694" s="4">
        <f t="shared" si="75"/>
        <v>2.4280155642023349</v>
      </c>
      <c r="O694" s="20">
        <f t="shared" si="76"/>
        <v>4.554744525547445</v>
      </c>
      <c r="P694">
        <f t="shared" si="74"/>
        <v>2275.6398062780268</v>
      </c>
    </row>
    <row r="695" spans="1:16">
      <c r="A695" s="27" t="s">
        <v>772</v>
      </c>
      <c r="B695" s="26" t="s">
        <v>858</v>
      </c>
      <c r="C695" s="23">
        <v>1.37</v>
      </c>
      <c r="D695" s="22">
        <v>1000</v>
      </c>
      <c r="E695" s="26">
        <v>0.56999999999999995</v>
      </c>
      <c r="F695" s="26">
        <v>784</v>
      </c>
      <c r="G695" s="27">
        <v>22.3</v>
      </c>
      <c r="H695" s="24">
        <f t="shared" si="77"/>
        <v>21.304900394253799</v>
      </c>
      <c r="I695" s="25">
        <f t="shared" si="78"/>
        <v>6.156972795442279E-3</v>
      </c>
      <c r="J695" s="24">
        <f t="shared" si="79"/>
        <v>3.6830202714255703E-3</v>
      </c>
      <c r="K695" s="14">
        <v>1.8</v>
      </c>
      <c r="L695" s="27">
        <v>6.13</v>
      </c>
      <c r="M695" s="27">
        <v>2.54</v>
      </c>
      <c r="N695" s="4">
        <f t="shared" si="75"/>
        <v>2.4133858267716533</v>
      </c>
      <c r="O695" s="20">
        <f t="shared" si="76"/>
        <v>4.4744525547445253</v>
      </c>
      <c r="P695">
        <f t="shared" si="74"/>
        <v>2222.8221130044844</v>
      </c>
    </row>
    <row r="696" spans="1:16">
      <c r="A696" s="27" t="s">
        <v>773</v>
      </c>
      <c r="B696" s="26" t="s">
        <v>858</v>
      </c>
      <c r="C696" s="23">
        <v>1.37</v>
      </c>
      <c r="D696" s="22">
        <v>750</v>
      </c>
      <c r="E696" s="26">
        <v>0.56999999999999995</v>
      </c>
      <c r="F696" s="26">
        <v>784</v>
      </c>
      <c r="G696" s="27">
        <v>22.3</v>
      </c>
      <c r="H696" s="24">
        <f t="shared" si="77"/>
        <v>15.978675295690353</v>
      </c>
      <c r="I696" s="25">
        <f t="shared" si="78"/>
        <v>3.4632971974362806E-3</v>
      </c>
      <c r="J696" s="24">
        <f t="shared" si="79"/>
        <v>3.6830202714255686E-3</v>
      </c>
      <c r="K696" s="14">
        <v>1.8</v>
      </c>
      <c r="L696" s="27">
        <v>6.07</v>
      </c>
      <c r="M696" s="27">
        <v>2.5299999999999998</v>
      </c>
      <c r="N696" s="4">
        <f t="shared" si="75"/>
        <v>2.3992094861660083</v>
      </c>
      <c r="O696" s="20">
        <f t="shared" si="76"/>
        <v>4.4306569343065689</v>
      </c>
      <c r="P696">
        <f t="shared" si="74"/>
        <v>2205.3540304932731</v>
      </c>
    </row>
    <row r="697" spans="1:16">
      <c r="A697" s="27" t="s">
        <v>774</v>
      </c>
      <c r="B697" s="26" t="s">
        <v>858</v>
      </c>
      <c r="C697" s="23">
        <v>1.37</v>
      </c>
      <c r="D697" s="22">
        <v>500</v>
      </c>
      <c r="E697" s="26">
        <v>0.56999999999999995</v>
      </c>
      <c r="F697" s="26">
        <v>784</v>
      </c>
      <c r="G697" s="27">
        <v>22.3</v>
      </c>
      <c r="H697" s="24">
        <f t="shared" si="77"/>
        <v>10.6524501971269</v>
      </c>
      <c r="I697" s="25">
        <f t="shared" si="78"/>
        <v>1.5392431988605698E-3</v>
      </c>
      <c r="J697" s="24">
        <f t="shared" si="79"/>
        <v>3.6830202714255703E-3</v>
      </c>
      <c r="K697" s="14">
        <v>1.8</v>
      </c>
      <c r="L697" s="27">
        <v>5.94</v>
      </c>
      <c r="M697" s="27">
        <v>2.5099999999999998</v>
      </c>
      <c r="N697" s="4">
        <f t="shared" si="75"/>
        <v>2.3665338645418332</v>
      </c>
      <c r="O697" s="20">
        <f t="shared" si="76"/>
        <v>4.335766423357664</v>
      </c>
      <c r="P697">
        <f t="shared" si="74"/>
        <v>2170.6245883408069</v>
      </c>
    </row>
    <row r="698" spans="1:16">
      <c r="A698" s="27" t="s">
        <v>775</v>
      </c>
      <c r="B698" s="26" t="s">
        <v>858</v>
      </c>
      <c r="C698" s="23">
        <v>1.37</v>
      </c>
      <c r="D698" s="22">
        <v>250</v>
      </c>
      <c r="E698" s="26">
        <v>0.56999999999999995</v>
      </c>
      <c r="F698" s="26">
        <v>784</v>
      </c>
      <c r="G698" s="27">
        <v>22.3</v>
      </c>
      <c r="H698" s="24">
        <f t="shared" si="77"/>
        <v>5.3262250985634498</v>
      </c>
      <c r="I698" s="25">
        <f t="shared" si="78"/>
        <v>3.8481079971514244E-4</v>
      </c>
      <c r="J698" s="24">
        <f t="shared" si="79"/>
        <v>3.6830202714255703E-3</v>
      </c>
      <c r="K698" s="14">
        <v>1.8</v>
      </c>
      <c r="L698" s="27">
        <v>5.85</v>
      </c>
      <c r="M698" s="27">
        <v>2.52</v>
      </c>
      <c r="N698" s="4">
        <f t="shared" si="75"/>
        <v>2.3214285714285712</v>
      </c>
      <c r="O698" s="20">
        <f t="shared" si="76"/>
        <v>4.2700729927007295</v>
      </c>
      <c r="P698">
        <f t="shared" si="74"/>
        <v>2187.9548556053815</v>
      </c>
    </row>
    <row r="699" spans="1:16">
      <c r="A699" s="27" t="s">
        <v>776</v>
      </c>
      <c r="B699" s="26" t="s">
        <v>858</v>
      </c>
      <c r="C699" s="23">
        <v>1.37</v>
      </c>
      <c r="D699" s="22">
        <v>100</v>
      </c>
      <c r="E699" s="26">
        <v>0.56999999999999995</v>
      </c>
      <c r="F699" s="26">
        <v>784</v>
      </c>
      <c r="G699" s="27">
        <v>22.3</v>
      </c>
      <c r="H699" s="24">
        <f t="shared" si="77"/>
        <v>2.1304900394253803</v>
      </c>
      <c r="I699" s="25">
        <f t="shared" si="78"/>
        <v>6.1569727954422781E-5</v>
      </c>
      <c r="J699" s="24">
        <f t="shared" si="79"/>
        <v>3.6830202714255695E-3</v>
      </c>
      <c r="K699" s="14">
        <v>1.8</v>
      </c>
      <c r="L699" s="27">
        <v>5.77</v>
      </c>
      <c r="M699" s="27">
        <v>2.5099999999999998</v>
      </c>
      <c r="N699" s="4">
        <f t="shared" si="75"/>
        <v>2.2988047808764942</v>
      </c>
      <c r="O699" s="20">
        <f t="shared" si="76"/>
        <v>4.211678832116788</v>
      </c>
      <c r="P699">
        <f t="shared" si="74"/>
        <v>2170.6245883408069</v>
      </c>
    </row>
    <row r="700" spans="1:16">
      <c r="A700" s="27" t="s">
        <v>777</v>
      </c>
      <c r="B700" s="26" t="s">
        <v>858</v>
      </c>
      <c r="C700" s="28">
        <v>0.83</v>
      </c>
      <c r="D700" s="22">
        <v>2000</v>
      </c>
      <c r="E700" s="26">
        <v>0.56999999999999995</v>
      </c>
      <c r="F700" s="26">
        <v>784</v>
      </c>
      <c r="G700" s="27">
        <v>22.3</v>
      </c>
      <c r="H700" s="24">
        <f t="shared" si="77"/>
        <v>70.331839855729427</v>
      </c>
      <c r="I700" s="25">
        <f t="shared" si="78"/>
        <v>0.11075278359584177</v>
      </c>
      <c r="J700" s="24">
        <f t="shared" si="79"/>
        <v>4.7317887417365305E-3</v>
      </c>
      <c r="K700" s="14">
        <v>1.27</v>
      </c>
      <c r="L700" s="27">
        <v>4.91</v>
      </c>
      <c r="M700" s="27">
        <v>2.27</v>
      </c>
      <c r="N700" s="4">
        <f t="shared" si="75"/>
        <v>2.1629955947136565</v>
      </c>
      <c r="O700" s="20">
        <f t="shared" si="76"/>
        <v>5.9156626506024104</v>
      </c>
      <c r="P700">
        <f t="shared" si="74"/>
        <v>1775.3704609865474</v>
      </c>
    </row>
    <row r="701" spans="1:16">
      <c r="A701" s="27" t="s">
        <v>778</v>
      </c>
      <c r="B701" s="26" t="s">
        <v>858</v>
      </c>
      <c r="C701" s="28">
        <v>0.83</v>
      </c>
      <c r="D701" s="22">
        <v>1750</v>
      </c>
      <c r="E701" s="26">
        <v>0.56999999999999995</v>
      </c>
      <c r="F701" s="26">
        <v>784</v>
      </c>
      <c r="G701" s="27">
        <v>22.3</v>
      </c>
      <c r="H701" s="24">
        <f t="shared" si="77"/>
        <v>61.540359873763258</v>
      </c>
      <c r="I701" s="25">
        <f t="shared" si="78"/>
        <v>8.4795099940566332E-2</v>
      </c>
      <c r="J701" s="24">
        <f t="shared" si="79"/>
        <v>4.7317887417365296E-3</v>
      </c>
      <c r="K701" s="14">
        <v>1.27</v>
      </c>
      <c r="L701" s="27">
        <v>4.7699999999999996</v>
      </c>
      <c r="M701" s="27">
        <v>2.2599999999999998</v>
      </c>
      <c r="N701" s="4">
        <f t="shared" si="75"/>
        <v>2.1106194690265485</v>
      </c>
      <c r="O701" s="20">
        <f t="shared" si="76"/>
        <v>5.7469879518072284</v>
      </c>
      <c r="P701">
        <f t="shared" si="74"/>
        <v>1759.7628843049326</v>
      </c>
    </row>
    <row r="702" spans="1:16">
      <c r="A702" s="27" t="s">
        <v>779</v>
      </c>
      <c r="B702" s="26" t="s">
        <v>858</v>
      </c>
      <c r="C702" s="28">
        <v>0.83</v>
      </c>
      <c r="D702" s="22">
        <v>1500</v>
      </c>
      <c r="E702" s="26">
        <v>0.56999999999999995</v>
      </c>
      <c r="F702" s="26">
        <v>784</v>
      </c>
      <c r="G702" s="27">
        <v>22.3</v>
      </c>
      <c r="H702" s="24">
        <f t="shared" si="77"/>
        <v>52.748879891797074</v>
      </c>
      <c r="I702" s="25">
        <f t="shared" si="78"/>
        <v>6.2298440772660973E-2</v>
      </c>
      <c r="J702" s="24">
        <f t="shared" si="79"/>
        <v>4.7317887417365288E-3</v>
      </c>
      <c r="K702" s="14">
        <v>1.27</v>
      </c>
      <c r="L702" s="27">
        <v>4.75</v>
      </c>
      <c r="M702" s="27">
        <v>2.2999999999999998</v>
      </c>
      <c r="N702" s="4">
        <f t="shared" si="75"/>
        <v>2.0652173913043481</v>
      </c>
      <c r="O702" s="20">
        <f t="shared" si="76"/>
        <v>5.7228915662650603</v>
      </c>
      <c r="P702">
        <f t="shared" si="74"/>
        <v>1822.6066367713001</v>
      </c>
    </row>
    <row r="703" spans="1:16">
      <c r="A703" s="27" t="s">
        <v>780</v>
      </c>
      <c r="B703" s="26" t="s">
        <v>858</v>
      </c>
      <c r="C703" s="28">
        <v>0.83</v>
      </c>
      <c r="D703" s="22">
        <v>1250</v>
      </c>
      <c r="E703" s="26">
        <v>0.56999999999999995</v>
      </c>
      <c r="F703" s="26">
        <v>784</v>
      </c>
      <c r="G703" s="27">
        <v>22.3</v>
      </c>
      <c r="H703" s="24">
        <f t="shared" si="77"/>
        <v>43.957399909830897</v>
      </c>
      <c r="I703" s="25">
        <f t="shared" si="78"/>
        <v>4.3262806092125676E-2</v>
      </c>
      <c r="J703" s="24">
        <f t="shared" si="79"/>
        <v>4.7317887417365288E-3</v>
      </c>
      <c r="K703" s="14">
        <v>1.27</v>
      </c>
      <c r="L703" s="27">
        <v>4.5599999999999996</v>
      </c>
      <c r="M703" s="27">
        <v>2.2799999999999998</v>
      </c>
      <c r="N703" s="4">
        <f t="shared" si="75"/>
        <v>2</v>
      </c>
      <c r="O703" s="20">
        <f t="shared" si="76"/>
        <v>5.4939759036144578</v>
      </c>
      <c r="P703">
        <f t="shared" si="74"/>
        <v>1791.0469452914792</v>
      </c>
    </row>
    <row r="704" spans="1:16">
      <c r="A704" s="27" t="s">
        <v>781</v>
      </c>
      <c r="B704" s="26" t="s">
        <v>858</v>
      </c>
      <c r="C704" s="28">
        <v>0.83</v>
      </c>
      <c r="D704" s="22">
        <v>1000</v>
      </c>
      <c r="E704" s="26">
        <v>0.56999999999999995</v>
      </c>
      <c r="F704" s="26">
        <v>784</v>
      </c>
      <c r="G704" s="27">
        <v>22.3</v>
      </c>
      <c r="H704" s="24">
        <f t="shared" si="77"/>
        <v>35.165919927864714</v>
      </c>
      <c r="I704" s="25">
        <f t="shared" si="78"/>
        <v>2.7688195898960443E-2</v>
      </c>
      <c r="J704" s="24">
        <f t="shared" si="79"/>
        <v>4.7317887417365305E-3</v>
      </c>
      <c r="K704" s="14">
        <v>1.27</v>
      </c>
      <c r="L704" s="27">
        <v>4.62</v>
      </c>
      <c r="M704" s="27">
        <v>2.34</v>
      </c>
      <c r="N704" s="4">
        <f t="shared" si="75"/>
        <v>1.9743589743589745</v>
      </c>
      <c r="O704" s="20">
        <f t="shared" si="76"/>
        <v>5.5662650602409647</v>
      </c>
      <c r="P704">
        <f t="shared" si="74"/>
        <v>1886.5529112107622</v>
      </c>
    </row>
    <row r="705" spans="1:16">
      <c r="A705" s="27" t="s">
        <v>782</v>
      </c>
      <c r="B705" s="26" t="s">
        <v>858</v>
      </c>
      <c r="C705" s="28">
        <v>0.83</v>
      </c>
      <c r="D705" s="22">
        <v>750</v>
      </c>
      <c r="E705" s="26">
        <v>0.56999999999999995</v>
      </c>
      <c r="F705" s="26">
        <v>784</v>
      </c>
      <c r="G705" s="27">
        <v>22.3</v>
      </c>
      <c r="H705" s="24">
        <f t="shared" si="77"/>
        <v>26.374439945898537</v>
      </c>
      <c r="I705" s="25">
        <f t="shared" si="78"/>
        <v>1.5574610193165243E-2</v>
      </c>
      <c r="J705" s="24">
        <f t="shared" si="79"/>
        <v>4.7317887417365288E-3</v>
      </c>
      <c r="K705" s="14">
        <v>1.27</v>
      </c>
      <c r="L705" s="27">
        <v>4.51</v>
      </c>
      <c r="M705" s="27">
        <v>2.3199999999999998</v>
      </c>
      <c r="N705" s="4">
        <f t="shared" si="75"/>
        <v>1.9439655172413794</v>
      </c>
      <c r="O705" s="20">
        <f t="shared" si="76"/>
        <v>5.4337349397590362</v>
      </c>
      <c r="P705">
        <f t="shared" si="74"/>
        <v>1854.4419587443945</v>
      </c>
    </row>
    <row r="706" spans="1:16">
      <c r="A706" s="27" t="s">
        <v>783</v>
      </c>
      <c r="B706" s="26" t="s">
        <v>858</v>
      </c>
      <c r="C706" s="28">
        <v>0.83</v>
      </c>
      <c r="D706" s="22">
        <v>500</v>
      </c>
      <c r="E706" s="26">
        <v>0.56999999999999995</v>
      </c>
      <c r="F706" s="26">
        <v>784</v>
      </c>
      <c r="G706" s="27">
        <v>22.3</v>
      </c>
      <c r="H706" s="24">
        <f t="shared" si="77"/>
        <v>17.582959963932357</v>
      </c>
      <c r="I706" s="25">
        <f t="shared" si="78"/>
        <v>6.9220489747401108E-3</v>
      </c>
      <c r="J706" s="24">
        <f t="shared" si="79"/>
        <v>4.7317887417365305E-3</v>
      </c>
      <c r="K706" s="14">
        <v>1.27</v>
      </c>
      <c r="L706" s="27">
        <v>4.45</v>
      </c>
      <c r="M706" s="27">
        <v>2.31</v>
      </c>
      <c r="N706" s="4">
        <f t="shared" si="75"/>
        <v>1.9264069264069263</v>
      </c>
      <c r="O706" s="20">
        <f t="shared" si="76"/>
        <v>5.3614457831325302</v>
      </c>
      <c r="P706">
        <f t="shared" si="74"/>
        <v>1838.4898439461886</v>
      </c>
    </row>
    <row r="707" spans="1:16">
      <c r="A707" s="27" t="s">
        <v>784</v>
      </c>
      <c r="B707" s="26" t="s">
        <v>858</v>
      </c>
      <c r="C707" s="28">
        <v>0.83</v>
      </c>
      <c r="D707" s="22">
        <v>250</v>
      </c>
      <c r="E707" s="26">
        <v>0.56999999999999995</v>
      </c>
      <c r="F707" s="26">
        <v>784</v>
      </c>
      <c r="G707" s="27">
        <v>22.3</v>
      </c>
      <c r="H707" s="24">
        <f t="shared" si="77"/>
        <v>8.7914799819661784</v>
      </c>
      <c r="I707" s="25">
        <f t="shared" si="78"/>
        <v>1.7305122436850277E-3</v>
      </c>
      <c r="J707" s="24">
        <f t="shared" si="79"/>
        <v>4.7317887417365305E-3</v>
      </c>
      <c r="K707" s="14">
        <v>1.27</v>
      </c>
      <c r="L707" s="27">
        <v>4.37</v>
      </c>
      <c r="M707" s="27">
        <v>2.29</v>
      </c>
      <c r="N707" s="4">
        <f t="shared" si="75"/>
        <v>1.9082969432314412</v>
      </c>
      <c r="O707" s="20">
        <f t="shared" si="76"/>
        <v>5.2650602409638561</v>
      </c>
      <c r="P707">
        <f t="shared" si="74"/>
        <v>1806.7923372197313</v>
      </c>
    </row>
    <row r="708" spans="1:16">
      <c r="A708" s="27" t="s">
        <v>785</v>
      </c>
      <c r="B708" s="26" t="s">
        <v>858</v>
      </c>
      <c r="C708" s="28">
        <v>0.83</v>
      </c>
      <c r="D708" s="22">
        <v>100</v>
      </c>
      <c r="E708" s="26">
        <v>0.56999999999999995</v>
      </c>
      <c r="F708" s="26">
        <v>784</v>
      </c>
      <c r="G708" s="27">
        <v>22.3</v>
      </c>
      <c r="H708" s="24">
        <f t="shared" si="77"/>
        <v>3.5165919927864713</v>
      </c>
      <c r="I708" s="25">
        <f t="shared" si="78"/>
        <v>2.768819589896044E-4</v>
      </c>
      <c r="J708" s="24">
        <f t="shared" si="79"/>
        <v>4.7317887417365296E-3</v>
      </c>
      <c r="K708" s="14">
        <v>1.27</v>
      </c>
      <c r="L708" s="27">
        <v>4.28</v>
      </c>
      <c r="M708" s="27">
        <v>2.29</v>
      </c>
      <c r="N708" s="4">
        <f t="shared" si="75"/>
        <v>1.8689956331877731</v>
      </c>
      <c r="O708" s="20">
        <f t="shared" si="76"/>
        <v>5.1566265060240966</v>
      </c>
      <c r="P708">
        <f t="shared" ref="P708:P771" si="80">F708*M708*M708*9.8/G708</f>
        <v>1806.7923372197313</v>
      </c>
    </row>
    <row r="709" spans="1:16">
      <c r="A709" s="27" t="s">
        <v>786</v>
      </c>
      <c r="B709" s="26" t="s">
        <v>858</v>
      </c>
      <c r="C709" s="28">
        <v>0.25</v>
      </c>
      <c r="D709" s="22">
        <v>2000</v>
      </c>
      <c r="E709" s="26">
        <v>0.56999999999999995</v>
      </c>
      <c r="F709" s="26">
        <v>784</v>
      </c>
      <c r="G709" s="27">
        <v>22.3</v>
      </c>
      <c r="H709" s="24">
        <f t="shared" si="77"/>
        <v>233.50170832102168</v>
      </c>
      <c r="I709" s="25">
        <f t="shared" si="78"/>
        <v>4.0529281199305967</v>
      </c>
      <c r="J709" s="24">
        <f t="shared" si="79"/>
        <v>8.6217294084266864E-3</v>
      </c>
      <c r="K709" s="14">
        <v>0.51</v>
      </c>
      <c r="L709" s="27">
        <v>2.72</v>
      </c>
      <c r="M709" s="27">
        <v>1.81</v>
      </c>
      <c r="N709" s="4">
        <f t="shared" si="75"/>
        <v>1.5027624309392267</v>
      </c>
      <c r="O709" s="20">
        <f t="shared" si="76"/>
        <v>10.88</v>
      </c>
      <c r="P709">
        <f t="shared" si="80"/>
        <v>1128.7413237668161</v>
      </c>
    </row>
    <row r="710" spans="1:16">
      <c r="A710" s="27" t="s">
        <v>787</v>
      </c>
      <c r="B710" s="26" t="s">
        <v>858</v>
      </c>
      <c r="C710" s="28">
        <v>0.25</v>
      </c>
      <c r="D710" s="22">
        <v>1750</v>
      </c>
      <c r="E710" s="26">
        <v>0.56999999999999995</v>
      </c>
      <c r="F710" s="26">
        <v>784</v>
      </c>
      <c r="G710" s="27">
        <v>22.3</v>
      </c>
      <c r="H710" s="24">
        <f t="shared" si="77"/>
        <v>204.31399478089398</v>
      </c>
      <c r="I710" s="25">
        <f t="shared" si="78"/>
        <v>3.1030230918218624</v>
      </c>
      <c r="J710" s="24">
        <f t="shared" si="79"/>
        <v>8.6217294084266864E-3</v>
      </c>
      <c r="K710" s="14">
        <v>0.51</v>
      </c>
      <c r="L710" s="27">
        <v>2.68</v>
      </c>
      <c r="M710" s="27">
        <v>1.81</v>
      </c>
      <c r="N710" s="4">
        <f t="shared" si="75"/>
        <v>1.4806629834254144</v>
      </c>
      <c r="O710" s="20">
        <f t="shared" si="76"/>
        <v>10.72</v>
      </c>
      <c r="P710">
        <f t="shared" si="80"/>
        <v>1128.7413237668161</v>
      </c>
    </row>
    <row r="711" spans="1:16">
      <c r="A711" s="27" t="s">
        <v>788</v>
      </c>
      <c r="B711" s="26" t="s">
        <v>858</v>
      </c>
      <c r="C711" s="28">
        <v>0.25</v>
      </c>
      <c r="D711" s="22">
        <v>1500</v>
      </c>
      <c r="E711" s="26">
        <v>0.56999999999999995</v>
      </c>
      <c r="F711" s="26">
        <v>784</v>
      </c>
      <c r="G711" s="27">
        <v>22.3</v>
      </c>
      <c r="H711" s="24">
        <f t="shared" si="77"/>
        <v>175.12628124076628</v>
      </c>
      <c r="I711" s="25">
        <f t="shared" si="78"/>
        <v>2.2797720674609598</v>
      </c>
      <c r="J711" s="24">
        <f t="shared" si="79"/>
        <v>8.6217294084266847E-3</v>
      </c>
      <c r="K711" s="14">
        <v>0.51</v>
      </c>
      <c r="L711" s="27">
        <v>2.63</v>
      </c>
      <c r="M711" s="27">
        <v>1.83</v>
      </c>
      <c r="N711" s="4">
        <f t="shared" si="75"/>
        <v>1.437158469945355</v>
      </c>
      <c r="O711" s="20">
        <f t="shared" si="76"/>
        <v>10.52</v>
      </c>
      <c r="P711">
        <f t="shared" si="80"/>
        <v>1153.8236986547086</v>
      </c>
    </row>
    <row r="712" spans="1:16">
      <c r="A712" s="27" t="s">
        <v>789</v>
      </c>
      <c r="B712" s="26" t="s">
        <v>858</v>
      </c>
      <c r="C712" s="28">
        <v>0.25</v>
      </c>
      <c r="D712" s="22">
        <v>1250</v>
      </c>
      <c r="E712" s="26">
        <v>0.56999999999999995</v>
      </c>
      <c r="F712" s="26">
        <v>784</v>
      </c>
      <c r="G712" s="27">
        <v>22.3</v>
      </c>
      <c r="H712" s="24">
        <f t="shared" si="77"/>
        <v>145.93856770063857</v>
      </c>
      <c r="I712" s="25">
        <f t="shared" si="78"/>
        <v>1.5831750468478889</v>
      </c>
      <c r="J712" s="24">
        <f t="shared" si="79"/>
        <v>8.6217294084266847E-3</v>
      </c>
      <c r="K712" s="14">
        <v>0.51</v>
      </c>
      <c r="L712" s="27">
        <v>2.54</v>
      </c>
      <c r="M712" s="27">
        <v>1.8</v>
      </c>
      <c r="N712" s="4">
        <f t="shared" si="75"/>
        <v>1.4111111111111112</v>
      </c>
      <c r="O712" s="20">
        <f t="shared" si="76"/>
        <v>10.16</v>
      </c>
      <c r="P712">
        <f t="shared" si="80"/>
        <v>1116.3034977578477</v>
      </c>
    </row>
    <row r="713" spans="1:16">
      <c r="A713" s="27" t="s">
        <v>790</v>
      </c>
      <c r="B713" s="26" t="s">
        <v>858</v>
      </c>
      <c r="C713" s="28">
        <v>0.25</v>
      </c>
      <c r="D713" s="22">
        <v>1000</v>
      </c>
      <c r="E713" s="26">
        <v>0.56999999999999995</v>
      </c>
      <c r="F713" s="26">
        <v>784</v>
      </c>
      <c r="G713" s="27">
        <v>22.3</v>
      </c>
      <c r="H713" s="24">
        <f t="shared" si="77"/>
        <v>116.75085416051084</v>
      </c>
      <c r="I713" s="25">
        <f t="shared" si="78"/>
        <v>1.0132320299826492</v>
      </c>
      <c r="J713" s="24">
        <f t="shared" si="79"/>
        <v>8.6217294084266864E-3</v>
      </c>
      <c r="K713" s="14">
        <v>0.51</v>
      </c>
      <c r="L713" s="27">
        <v>2.62</v>
      </c>
      <c r="M713" s="27">
        <v>1.84</v>
      </c>
      <c r="N713" s="4">
        <f t="shared" si="75"/>
        <v>1.423913043478261</v>
      </c>
      <c r="O713" s="20">
        <f t="shared" si="76"/>
        <v>10.48</v>
      </c>
      <c r="P713">
        <f t="shared" si="80"/>
        <v>1166.4682475336324</v>
      </c>
    </row>
    <row r="714" spans="1:16">
      <c r="A714" s="27" t="s">
        <v>791</v>
      </c>
      <c r="B714" s="26" t="s">
        <v>858</v>
      </c>
      <c r="C714" s="28">
        <v>0.25</v>
      </c>
      <c r="D714" s="22">
        <v>750</v>
      </c>
      <c r="E714" s="26">
        <v>0.56999999999999995</v>
      </c>
      <c r="F714" s="26">
        <v>784</v>
      </c>
      <c r="G714" s="27">
        <v>22.3</v>
      </c>
      <c r="H714" s="24">
        <f t="shared" si="77"/>
        <v>87.563140620383138</v>
      </c>
      <c r="I714" s="25">
        <f t="shared" si="78"/>
        <v>0.56994301686523996</v>
      </c>
      <c r="J714" s="24">
        <f t="shared" si="79"/>
        <v>8.6217294084266847E-3</v>
      </c>
      <c r="K714" s="14">
        <v>0.51</v>
      </c>
      <c r="L714" s="27">
        <v>2.5099999999999998</v>
      </c>
      <c r="M714" s="27">
        <v>1.81</v>
      </c>
      <c r="N714" s="4">
        <f t="shared" si="75"/>
        <v>1.3867403314917126</v>
      </c>
      <c r="O714" s="20">
        <f t="shared" si="76"/>
        <v>10.039999999999999</v>
      </c>
      <c r="P714">
        <f t="shared" si="80"/>
        <v>1128.7413237668161</v>
      </c>
    </row>
    <row r="715" spans="1:16">
      <c r="A715" s="27" t="s">
        <v>792</v>
      </c>
      <c r="B715" s="26" t="s">
        <v>858</v>
      </c>
      <c r="C715" s="28">
        <v>0.25</v>
      </c>
      <c r="D715" s="22">
        <v>500</v>
      </c>
      <c r="E715" s="26">
        <v>0.56999999999999995</v>
      </c>
      <c r="F715" s="26">
        <v>784</v>
      </c>
      <c r="G715" s="27">
        <v>22.3</v>
      </c>
      <c r="H715" s="24">
        <f t="shared" si="77"/>
        <v>58.37542708025542</v>
      </c>
      <c r="I715" s="25">
        <f t="shared" si="78"/>
        <v>0.25330800749566229</v>
      </c>
      <c r="J715" s="24">
        <f t="shared" si="79"/>
        <v>8.6217294084266864E-3</v>
      </c>
      <c r="K715" s="14">
        <v>0.51</v>
      </c>
      <c r="L715" s="27">
        <v>2.52</v>
      </c>
      <c r="M715" s="27">
        <v>1.84</v>
      </c>
      <c r="N715" s="4">
        <f t="shared" si="75"/>
        <v>1.3695652173913042</v>
      </c>
      <c r="O715" s="20">
        <f t="shared" si="76"/>
        <v>10.08</v>
      </c>
      <c r="P715">
        <f t="shared" si="80"/>
        <v>1166.4682475336324</v>
      </c>
    </row>
    <row r="716" spans="1:16">
      <c r="A716" s="27" t="s">
        <v>793</v>
      </c>
      <c r="B716" s="26" t="s">
        <v>858</v>
      </c>
      <c r="C716" s="28">
        <v>0.25</v>
      </c>
      <c r="D716" s="22">
        <v>250</v>
      </c>
      <c r="E716" s="26">
        <v>0.56999999999999995</v>
      </c>
      <c r="F716" s="26">
        <v>784</v>
      </c>
      <c r="G716" s="27">
        <v>22.3</v>
      </c>
      <c r="H716" s="24">
        <f t="shared" si="77"/>
        <v>29.18771354012771</v>
      </c>
      <c r="I716" s="25">
        <f t="shared" si="78"/>
        <v>6.3327001873915573E-2</v>
      </c>
      <c r="J716" s="24">
        <f t="shared" si="79"/>
        <v>8.6217294084266864E-3</v>
      </c>
      <c r="K716" s="14">
        <v>0.51</v>
      </c>
      <c r="L716" s="27">
        <v>2.48</v>
      </c>
      <c r="M716" s="27">
        <v>1.83</v>
      </c>
      <c r="N716" s="4">
        <f t="shared" si="75"/>
        <v>1.355191256830601</v>
      </c>
      <c r="O716" s="20">
        <f t="shared" si="76"/>
        <v>9.92</v>
      </c>
      <c r="P716">
        <f t="shared" si="80"/>
        <v>1153.8236986547086</v>
      </c>
    </row>
    <row r="717" spans="1:16">
      <c r="A717" s="27" t="s">
        <v>794</v>
      </c>
      <c r="B717" s="26" t="s">
        <v>858</v>
      </c>
      <c r="C717" s="28">
        <v>0.25</v>
      </c>
      <c r="D717" s="22">
        <v>100</v>
      </c>
      <c r="E717" s="26">
        <v>0.56999999999999995</v>
      </c>
      <c r="F717" s="26">
        <v>784</v>
      </c>
      <c r="G717" s="27">
        <v>22.3</v>
      </c>
      <c r="H717" s="24">
        <f t="shared" si="77"/>
        <v>11.675085416051084</v>
      </c>
      <c r="I717" s="25">
        <f t="shared" si="78"/>
        <v>1.013232029982649E-2</v>
      </c>
      <c r="J717" s="24">
        <f t="shared" si="79"/>
        <v>8.6217294084266864E-3</v>
      </c>
      <c r="K717" s="14">
        <v>0.51</v>
      </c>
      <c r="L717" s="27">
        <v>2.38</v>
      </c>
      <c r="M717" s="27">
        <v>1.79</v>
      </c>
      <c r="N717" s="4">
        <f t="shared" si="75"/>
        <v>1.3296089385474859</v>
      </c>
      <c r="O717" s="20">
        <f t="shared" si="76"/>
        <v>9.52</v>
      </c>
      <c r="P717">
        <f t="shared" si="80"/>
        <v>1103.9345793721975</v>
      </c>
    </row>
    <row r="718" spans="1:16">
      <c r="A718" s="27" t="s">
        <v>795</v>
      </c>
      <c r="B718" s="26" t="s">
        <v>858</v>
      </c>
      <c r="C718" s="28">
        <v>0.1</v>
      </c>
      <c r="D718" s="22">
        <v>2000</v>
      </c>
      <c r="E718" s="26">
        <v>0.56999999999999995</v>
      </c>
      <c r="F718" s="26">
        <v>784</v>
      </c>
      <c r="G718" s="27">
        <v>22.3</v>
      </c>
      <c r="H718" s="24">
        <f t="shared" si="77"/>
        <v>583.75427080255417</v>
      </c>
      <c r="I718" s="25">
        <f t="shared" si="78"/>
        <v>63.327001873915577</v>
      </c>
      <c r="J718" s="24">
        <f t="shared" si="79"/>
        <v>1.3632151150142225E-2</v>
      </c>
      <c r="K718" s="14">
        <v>0.24</v>
      </c>
      <c r="L718" s="27">
        <v>1.86</v>
      </c>
      <c r="M718" s="27">
        <v>1.55</v>
      </c>
      <c r="N718" s="4">
        <f t="shared" si="75"/>
        <v>1.2</v>
      </c>
      <c r="O718" s="20">
        <f t="shared" si="76"/>
        <v>18.600000000000001</v>
      </c>
      <c r="P718">
        <f t="shared" si="80"/>
        <v>827.75282511210776</v>
      </c>
    </row>
    <row r="719" spans="1:16">
      <c r="A719" s="27" t="s">
        <v>796</v>
      </c>
      <c r="B719" s="26" t="s">
        <v>858</v>
      </c>
      <c r="C719" s="28">
        <v>0.1</v>
      </c>
      <c r="D719" s="22">
        <v>1750</v>
      </c>
      <c r="E719" s="26">
        <v>0.56999999999999995</v>
      </c>
      <c r="F719" s="26">
        <v>784</v>
      </c>
      <c r="G719" s="27">
        <v>22.3</v>
      </c>
      <c r="H719" s="24">
        <f t="shared" si="77"/>
        <v>510.78498695223499</v>
      </c>
      <c r="I719" s="25">
        <f t="shared" si="78"/>
        <v>48.484735809716604</v>
      </c>
      <c r="J719" s="24">
        <f t="shared" si="79"/>
        <v>1.3632151150142222E-2</v>
      </c>
      <c r="K719" s="14">
        <v>0.24</v>
      </c>
      <c r="L719" s="27">
        <v>1.79</v>
      </c>
      <c r="M719" s="27">
        <v>1.5</v>
      </c>
      <c r="N719" s="4">
        <f t="shared" si="75"/>
        <v>1.1933333333333334</v>
      </c>
      <c r="O719" s="20">
        <f t="shared" si="76"/>
        <v>17.899999999999999</v>
      </c>
      <c r="P719">
        <f t="shared" si="80"/>
        <v>775.21076233183862</v>
      </c>
    </row>
    <row r="720" spans="1:16">
      <c r="A720" s="27" t="s">
        <v>797</v>
      </c>
      <c r="B720" s="26" t="s">
        <v>858</v>
      </c>
      <c r="C720" s="28">
        <v>0.1</v>
      </c>
      <c r="D720" s="22">
        <v>1500</v>
      </c>
      <c r="E720" s="26">
        <v>0.56999999999999995</v>
      </c>
      <c r="F720" s="26">
        <v>784</v>
      </c>
      <c r="G720" s="27">
        <v>22.3</v>
      </c>
      <c r="H720" s="24">
        <f t="shared" si="77"/>
        <v>437.81570310191569</v>
      </c>
      <c r="I720" s="25">
        <f t="shared" si="78"/>
        <v>35.6214385540775</v>
      </c>
      <c r="J720" s="24">
        <f t="shared" si="79"/>
        <v>1.3632151150142222E-2</v>
      </c>
      <c r="K720" s="14">
        <v>0.24</v>
      </c>
      <c r="L720" s="27">
        <v>1.87</v>
      </c>
      <c r="M720" s="27">
        <v>1.55</v>
      </c>
      <c r="N720" s="4">
        <f t="shared" si="75"/>
        <v>1.2064516129032259</v>
      </c>
      <c r="O720" s="20">
        <f t="shared" si="76"/>
        <v>18.7</v>
      </c>
      <c r="P720">
        <f t="shared" si="80"/>
        <v>827.75282511210776</v>
      </c>
    </row>
    <row r="721" spans="1:16">
      <c r="A721" s="27" t="s">
        <v>798</v>
      </c>
      <c r="B721" s="26" t="s">
        <v>858</v>
      </c>
      <c r="C721" s="28">
        <v>0.1</v>
      </c>
      <c r="D721" s="22">
        <v>1250</v>
      </c>
      <c r="E721" s="26">
        <v>0.56999999999999995</v>
      </c>
      <c r="F721" s="26">
        <v>784</v>
      </c>
      <c r="G721" s="27">
        <v>22.3</v>
      </c>
      <c r="H721" s="24">
        <f t="shared" si="77"/>
        <v>364.84641925159644</v>
      </c>
      <c r="I721" s="25">
        <f t="shared" si="78"/>
        <v>24.737110106998266</v>
      </c>
      <c r="J721" s="24">
        <f t="shared" si="79"/>
        <v>1.3632151150142222E-2</v>
      </c>
      <c r="K721" s="14">
        <v>0.24</v>
      </c>
      <c r="L721" s="27">
        <v>1.86</v>
      </c>
      <c r="M721" s="27">
        <v>1.55</v>
      </c>
      <c r="N721" s="4">
        <f t="shared" si="75"/>
        <v>1.2</v>
      </c>
      <c r="O721" s="20">
        <f t="shared" si="76"/>
        <v>18.600000000000001</v>
      </c>
      <c r="P721">
        <f t="shared" si="80"/>
        <v>827.75282511210776</v>
      </c>
    </row>
    <row r="722" spans="1:16">
      <c r="A722" s="27" t="s">
        <v>799</v>
      </c>
      <c r="B722" s="26" t="s">
        <v>858</v>
      </c>
      <c r="C722" s="28">
        <v>0.1</v>
      </c>
      <c r="D722" s="22">
        <v>1000</v>
      </c>
      <c r="E722" s="26">
        <v>0.56999999999999995</v>
      </c>
      <c r="F722" s="26">
        <v>784</v>
      </c>
      <c r="G722" s="27">
        <v>22.3</v>
      </c>
      <c r="H722" s="24">
        <f t="shared" ref="H722:H785" si="81">(4/60*F722*D722*10^(-9))/(PI()*C722*E722*10^(-6))</f>
        <v>291.87713540127709</v>
      </c>
      <c r="I722" s="25">
        <f t="shared" si="78"/>
        <v>15.831750468478894</v>
      </c>
      <c r="J722" s="24">
        <f t="shared" si="79"/>
        <v>1.3632151150142225E-2</v>
      </c>
      <c r="K722" s="14">
        <v>0.24</v>
      </c>
      <c r="L722" s="27">
        <v>1.73</v>
      </c>
      <c r="M722" s="27">
        <v>1.44</v>
      </c>
      <c r="N722" s="4">
        <f t="shared" si="75"/>
        <v>1.2013888888888888</v>
      </c>
      <c r="O722" s="20">
        <f t="shared" si="76"/>
        <v>17.299999999999997</v>
      </c>
      <c r="P722">
        <f t="shared" si="80"/>
        <v>714.43423856502238</v>
      </c>
    </row>
    <row r="723" spans="1:16">
      <c r="A723" s="27" t="s">
        <v>800</v>
      </c>
      <c r="B723" s="26" t="s">
        <v>858</v>
      </c>
      <c r="C723" s="28">
        <v>0.1</v>
      </c>
      <c r="D723" s="22">
        <v>750</v>
      </c>
      <c r="E723" s="26">
        <v>0.56999999999999995</v>
      </c>
      <c r="F723" s="26">
        <v>784</v>
      </c>
      <c r="G723" s="27">
        <v>22.3</v>
      </c>
      <c r="H723" s="24">
        <f t="shared" si="81"/>
        <v>218.90785155095784</v>
      </c>
      <c r="I723" s="25">
        <f t="shared" si="78"/>
        <v>8.905359638519375</v>
      </c>
      <c r="J723" s="24">
        <f t="shared" si="79"/>
        <v>1.3632151150142222E-2</v>
      </c>
      <c r="K723" s="14">
        <v>0.24</v>
      </c>
      <c r="L723" s="27">
        <v>1.84</v>
      </c>
      <c r="M723" s="27">
        <v>1.55</v>
      </c>
      <c r="N723" s="4">
        <f t="shared" si="75"/>
        <v>1.1870967741935483</v>
      </c>
      <c r="O723" s="20">
        <f t="shared" si="76"/>
        <v>18.399999999999999</v>
      </c>
      <c r="P723">
        <f t="shared" si="80"/>
        <v>827.75282511210776</v>
      </c>
    </row>
    <row r="724" spans="1:16">
      <c r="A724" s="27" t="s">
        <v>801</v>
      </c>
      <c r="B724" s="26" t="s">
        <v>858</v>
      </c>
      <c r="C724" s="28">
        <v>0.1</v>
      </c>
      <c r="D724" s="22">
        <v>500</v>
      </c>
      <c r="E724" s="26">
        <v>0.56999999999999995</v>
      </c>
      <c r="F724" s="26">
        <v>784</v>
      </c>
      <c r="G724" s="27">
        <v>22.3</v>
      </c>
      <c r="H724" s="24">
        <f t="shared" si="81"/>
        <v>145.93856770063854</v>
      </c>
      <c r="I724" s="25">
        <f t="shared" si="78"/>
        <v>3.9579376171197236</v>
      </c>
      <c r="J724" s="24">
        <f t="shared" si="79"/>
        <v>1.3632151150142225E-2</v>
      </c>
      <c r="K724" s="14">
        <v>0.24</v>
      </c>
      <c r="L724" s="27">
        <v>1.92</v>
      </c>
      <c r="M724" s="27">
        <v>1.61</v>
      </c>
      <c r="N724" s="4">
        <f t="shared" si="75"/>
        <v>1.1925465838509315</v>
      </c>
      <c r="O724" s="20">
        <f t="shared" si="76"/>
        <v>19.2</v>
      </c>
      <c r="P724">
        <f t="shared" si="80"/>
        <v>893.07725201793733</v>
      </c>
    </row>
    <row r="725" spans="1:16">
      <c r="A725" s="27" t="s">
        <v>802</v>
      </c>
      <c r="B725" s="26" t="s">
        <v>858</v>
      </c>
      <c r="C725" s="28">
        <v>0.1</v>
      </c>
      <c r="D725" s="22">
        <v>250</v>
      </c>
      <c r="E725" s="26">
        <v>0.56999999999999995</v>
      </c>
      <c r="F725" s="26">
        <v>784</v>
      </c>
      <c r="G725" s="27">
        <v>22.3</v>
      </c>
      <c r="H725" s="24">
        <f t="shared" si="81"/>
        <v>72.969283850319272</v>
      </c>
      <c r="I725" s="25">
        <f t="shared" si="78"/>
        <v>0.9894844042799309</v>
      </c>
      <c r="J725" s="24">
        <f t="shared" si="79"/>
        <v>1.3632151150142225E-2</v>
      </c>
      <c r="K725" s="14">
        <v>0.24</v>
      </c>
      <c r="L725" s="27">
        <v>1.75</v>
      </c>
      <c r="M725" s="27">
        <v>1.48</v>
      </c>
      <c r="N725" s="4">
        <f t="shared" si="75"/>
        <v>1.1824324324324325</v>
      </c>
      <c r="O725" s="20">
        <f t="shared" si="76"/>
        <v>17.5</v>
      </c>
      <c r="P725">
        <f t="shared" si="80"/>
        <v>754.67629058295972</v>
      </c>
    </row>
    <row r="726" spans="1:16">
      <c r="A726" s="27" t="s">
        <v>803</v>
      </c>
      <c r="B726" s="26" t="s">
        <v>858</v>
      </c>
      <c r="C726" s="28">
        <v>0.1</v>
      </c>
      <c r="D726" s="22">
        <v>100</v>
      </c>
      <c r="E726" s="26">
        <v>0.56999999999999995</v>
      </c>
      <c r="F726" s="26">
        <v>784</v>
      </c>
      <c r="G726" s="27">
        <v>22.3</v>
      </c>
      <c r="H726" s="24">
        <f t="shared" si="81"/>
        <v>29.187713540127714</v>
      </c>
      <c r="I726" s="25">
        <f t="shared" si="78"/>
        <v>0.15831750468478892</v>
      </c>
      <c r="J726" s="24">
        <f t="shared" si="79"/>
        <v>1.3632151150142224E-2</v>
      </c>
      <c r="K726" s="14">
        <v>0.24</v>
      </c>
      <c r="L726" s="27">
        <v>1.9</v>
      </c>
      <c r="M726" s="27">
        <v>1.6</v>
      </c>
      <c r="N726" s="4">
        <f t="shared" si="75"/>
        <v>1.1874999999999998</v>
      </c>
      <c r="O726" s="20">
        <f t="shared" si="76"/>
        <v>18.999999999999996</v>
      </c>
      <c r="P726">
        <f t="shared" si="80"/>
        <v>882.01757847533634</v>
      </c>
    </row>
    <row r="727" spans="1:16">
      <c r="A727" s="27" t="s">
        <v>804</v>
      </c>
      <c r="B727" s="22" t="s">
        <v>860</v>
      </c>
      <c r="C727" s="23">
        <v>2.38</v>
      </c>
      <c r="D727" s="22">
        <v>2000</v>
      </c>
      <c r="E727" s="26">
        <v>1.93</v>
      </c>
      <c r="F727" s="26">
        <v>938.2</v>
      </c>
      <c r="G727" s="27">
        <v>38.5</v>
      </c>
      <c r="H727" s="24">
        <f t="shared" si="81"/>
        <v>8.6686212164593393</v>
      </c>
      <c r="I727" s="25">
        <f t="shared" si="78"/>
        <v>3.2559787045564901E-3</v>
      </c>
      <c r="J727" s="24">
        <f t="shared" si="79"/>
        <v>6.5824982363830312E-3</v>
      </c>
      <c r="K727" s="14">
        <v>2.8</v>
      </c>
      <c r="L727" s="27">
        <v>9.2799999999999994</v>
      </c>
      <c r="M727" s="27">
        <v>3.27</v>
      </c>
      <c r="N727" s="4">
        <f t="shared" si="75"/>
        <v>2.8379204892966361</v>
      </c>
      <c r="O727" s="20">
        <f t="shared" si="76"/>
        <v>3.8991596638655461</v>
      </c>
      <c r="P727">
        <f t="shared" si="80"/>
        <v>2553.6200530909096</v>
      </c>
    </row>
    <row r="728" spans="1:16">
      <c r="A728" s="27" t="s">
        <v>805</v>
      </c>
      <c r="B728" s="22" t="s">
        <v>860</v>
      </c>
      <c r="C728" s="23">
        <v>2.38</v>
      </c>
      <c r="D728" s="22">
        <v>1750</v>
      </c>
      <c r="E728" s="26">
        <v>1.93</v>
      </c>
      <c r="F728" s="26">
        <v>938.2</v>
      </c>
      <c r="G728" s="27">
        <v>38.5</v>
      </c>
      <c r="H728" s="24">
        <f t="shared" si="81"/>
        <v>7.5850435644019223</v>
      </c>
      <c r="I728" s="25">
        <f t="shared" si="78"/>
        <v>2.4928586956760625E-3</v>
      </c>
      <c r="J728" s="24">
        <f t="shared" si="79"/>
        <v>6.5824982363830295E-3</v>
      </c>
      <c r="K728" s="14">
        <v>2.8</v>
      </c>
      <c r="L728" s="27">
        <v>9.1999999999999993</v>
      </c>
      <c r="M728" s="27">
        <v>3.25</v>
      </c>
      <c r="N728" s="4">
        <f t="shared" si="75"/>
        <v>2.8307692307692305</v>
      </c>
      <c r="O728" s="20">
        <f t="shared" si="76"/>
        <v>3.865546218487395</v>
      </c>
      <c r="P728">
        <f t="shared" si="80"/>
        <v>2522.4786363636367</v>
      </c>
    </row>
    <row r="729" spans="1:16">
      <c r="A729" s="27" t="s">
        <v>806</v>
      </c>
      <c r="B729" s="22" t="s">
        <v>859</v>
      </c>
      <c r="C729" s="23">
        <v>2.38</v>
      </c>
      <c r="D729" s="22">
        <v>1500</v>
      </c>
      <c r="E729" s="26">
        <v>1.93</v>
      </c>
      <c r="F729" s="26">
        <v>938.2</v>
      </c>
      <c r="G729" s="27">
        <v>38.5</v>
      </c>
      <c r="H729" s="24">
        <f t="shared" si="81"/>
        <v>6.5014659123445053</v>
      </c>
      <c r="I729" s="25">
        <f t="shared" si="78"/>
        <v>1.8314880213130252E-3</v>
      </c>
      <c r="J729" s="24">
        <f t="shared" si="79"/>
        <v>6.5824982363830286E-3</v>
      </c>
      <c r="K729" s="14">
        <v>2.8</v>
      </c>
      <c r="L729" s="27">
        <v>9.16</v>
      </c>
      <c r="M729" s="27">
        <v>3.28</v>
      </c>
      <c r="N729" s="4">
        <f t="shared" si="75"/>
        <v>2.7926829268292686</v>
      </c>
      <c r="O729" s="20">
        <f t="shared" si="76"/>
        <v>3.8487394957983194</v>
      </c>
      <c r="P729">
        <f t="shared" si="80"/>
        <v>2569.2624058181818</v>
      </c>
    </row>
    <row r="730" spans="1:16">
      <c r="A730" s="27" t="s">
        <v>807</v>
      </c>
      <c r="B730" s="22" t="s">
        <v>859</v>
      </c>
      <c r="C730" s="23">
        <v>2.38</v>
      </c>
      <c r="D730" s="22">
        <v>1250</v>
      </c>
      <c r="E730" s="26">
        <v>1.93</v>
      </c>
      <c r="F730" s="26">
        <v>938.2</v>
      </c>
      <c r="G730" s="27">
        <v>38.5</v>
      </c>
      <c r="H730" s="24">
        <f t="shared" si="81"/>
        <v>5.4178882602870866</v>
      </c>
      <c r="I730" s="25">
        <f t="shared" si="78"/>
        <v>1.2718666814673786E-3</v>
      </c>
      <c r="J730" s="24">
        <f t="shared" si="79"/>
        <v>6.5824982363830303E-3</v>
      </c>
      <c r="K730" s="14">
        <v>2.8</v>
      </c>
      <c r="L730" s="27">
        <v>9.09</v>
      </c>
      <c r="M730" s="27">
        <v>3.26</v>
      </c>
      <c r="N730" s="4">
        <f t="shared" si="75"/>
        <v>2.7883435582822087</v>
      </c>
      <c r="O730" s="20">
        <f t="shared" si="76"/>
        <v>3.8193277310924372</v>
      </c>
      <c r="P730">
        <f t="shared" si="80"/>
        <v>2538.0254632727274</v>
      </c>
    </row>
    <row r="731" spans="1:16">
      <c r="A731" s="27" t="s">
        <v>808</v>
      </c>
      <c r="B731" s="22" t="s">
        <v>859</v>
      </c>
      <c r="C731" s="23">
        <v>2.38</v>
      </c>
      <c r="D731" s="22">
        <v>1000</v>
      </c>
      <c r="E731" s="26">
        <v>1.93</v>
      </c>
      <c r="F731" s="26">
        <v>938.2</v>
      </c>
      <c r="G731" s="27">
        <v>38.5</v>
      </c>
      <c r="H731" s="24">
        <f t="shared" si="81"/>
        <v>4.3343106082296696</v>
      </c>
      <c r="I731" s="25">
        <f t="shared" si="78"/>
        <v>8.1399467613912251E-4</v>
      </c>
      <c r="J731" s="24">
        <f t="shared" si="79"/>
        <v>6.5824982363830312E-3</v>
      </c>
      <c r="K731" s="14">
        <v>2.8</v>
      </c>
      <c r="L731" s="27">
        <v>8.65</v>
      </c>
      <c r="M731" s="27">
        <v>3.21</v>
      </c>
      <c r="N731" s="4">
        <f t="shared" si="75"/>
        <v>2.6947040498442369</v>
      </c>
      <c r="O731" s="20">
        <f t="shared" si="76"/>
        <v>3.6344537815126055</v>
      </c>
      <c r="P731">
        <f t="shared" si="80"/>
        <v>2460.7689578181821</v>
      </c>
    </row>
    <row r="732" spans="1:16">
      <c r="A732" s="27" t="s">
        <v>809</v>
      </c>
      <c r="B732" s="22" t="s">
        <v>859</v>
      </c>
      <c r="C732" s="23">
        <v>2.38</v>
      </c>
      <c r="D732" s="22">
        <v>750</v>
      </c>
      <c r="E732" s="26">
        <v>1.93</v>
      </c>
      <c r="F732" s="26">
        <v>938.2</v>
      </c>
      <c r="G732" s="27">
        <v>38.5</v>
      </c>
      <c r="H732" s="24">
        <f t="shared" si="81"/>
        <v>3.2507329561722527</v>
      </c>
      <c r="I732" s="25">
        <f t="shared" si="78"/>
        <v>4.5787200532825629E-4</v>
      </c>
      <c r="J732" s="24">
        <f t="shared" si="79"/>
        <v>6.5824982363830286E-3</v>
      </c>
      <c r="K732" s="14">
        <v>2.8</v>
      </c>
      <c r="L732" s="27">
        <v>8.91</v>
      </c>
      <c r="M732" s="27">
        <v>3.22</v>
      </c>
      <c r="N732" s="4">
        <f t="shared" si="75"/>
        <v>2.7670807453416146</v>
      </c>
      <c r="O732" s="20">
        <f t="shared" si="76"/>
        <v>3.7436974789915967</v>
      </c>
      <c r="P732">
        <f t="shared" si="80"/>
        <v>2476.1247330909096</v>
      </c>
    </row>
    <row r="733" spans="1:16">
      <c r="A733" s="27" t="s">
        <v>810</v>
      </c>
      <c r="B733" s="22" t="s">
        <v>859</v>
      </c>
      <c r="C733" s="23">
        <v>2.38</v>
      </c>
      <c r="D733" s="22">
        <v>500</v>
      </c>
      <c r="E733" s="26">
        <v>1.93</v>
      </c>
      <c r="F733" s="26">
        <v>938.2</v>
      </c>
      <c r="G733" s="27">
        <v>38.5</v>
      </c>
      <c r="H733" s="24">
        <f t="shared" si="81"/>
        <v>2.1671553041148348</v>
      </c>
      <c r="I733" s="25">
        <f t="shared" si="78"/>
        <v>2.0349866903478063E-4</v>
      </c>
      <c r="J733" s="24">
        <f t="shared" si="79"/>
        <v>6.5824982363830312E-3</v>
      </c>
      <c r="K733" s="14">
        <v>2.8</v>
      </c>
      <c r="L733" s="27">
        <v>8.84</v>
      </c>
      <c r="M733" s="27">
        <v>3.23</v>
      </c>
      <c r="N733" s="4">
        <f t="shared" si="75"/>
        <v>2.736842105263158</v>
      </c>
      <c r="O733" s="20">
        <f t="shared" si="76"/>
        <v>3.7142857142857144</v>
      </c>
      <c r="P733">
        <f t="shared" si="80"/>
        <v>2491.5282712727271</v>
      </c>
    </row>
    <row r="734" spans="1:16">
      <c r="A734" s="27" t="s">
        <v>811</v>
      </c>
      <c r="B734" s="22" t="s">
        <v>859</v>
      </c>
      <c r="C734" s="23">
        <v>2.38</v>
      </c>
      <c r="D734" s="22">
        <v>250</v>
      </c>
      <c r="E734" s="26">
        <v>1.93</v>
      </c>
      <c r="F734" s="26">
        <v>938.2</v>
      </c>
      <c r="G734" s="27">
        <v>38.5</v>
      </c>
      <c r="H734" s="24">
        <f t="shared" si="81"/>
        <v>1.0835776520574174</v>
      </c>
      <c r="I734" s="25">
        <f t="shared" si="78"/>
        <v>5.0874667258695157E-5</v>
      </c>
      <c r="J734" s="24">
        <f t="shared" si="79"/>
        <v>6.5824982363830312E-3</v>
      </c>
      <c r="K734" s="14">
        <v>2.8</v>
      </c>
      <c r="L734" s="27">
        <v>8.6300000000000008</v>
      </c>
      <c r="M734" s="27">
        <v>3.2</v>
      </c>
      <c r="N734" s="4">
        <f t="shared" si="75"/>
        <v>2.6968749999999999</v>
      </c>
      <c r="O734" s="20">
        <f t="shared" si="76"/>
        <v>3.6260504201680677</v>
      </c>
      <c r="P734">
        <f t="shared" si="80"/>
        <v>2445.4609454545457</v>
      </c>
    </row>
    <row r="735" spans="1:16">
      <c r="A735" s="27" t="s">
        <v>812</v>
      </c>
      <c r="B735" s="22" t="s">
        <v>859</v>
      </c>
      <c r="C735" s="23">
        <v>2.38</v>
      </c>
      <c r="D735" s="22">
        <v>100</v>
      </c>
      <c r="E735" s="26">
        <v>1.93</v>
      </c>
      <c r="F735" s="26">
        <v>938.2</v>
      </c>
      <c r="G735" s="27">
        <v>38.5</v>
      </c>
      <c r="H735" s="24">
        <f t="shared" si="81"/>
        <v>0.43343106082296701</v>
      </c>
      <c r="I735" s="25">
        <f t="shared" si="78"/>
        <v>8.1399467613912237E-6</v>
      </c>
      <c r="J735" s="24">
        <f t="shared" si="79"/>
        <v>6.5824982363830295E-3</v>
      </c>
      <c r="K735" s="14">
        <v>2.8</v>
      </c>
      <c r="L735" s="27">
        <v>8.6300000000000008</v>
      </c>
      <c r="M735" s="27">
        <v>3.21</v>
      </c>
      <c r="N735" s="4">
        <f t="shared" si="75"/>
        <v>2.6884735202492216</v>
      </c>
      <c r="O735" s="20">
        <f t="shared" si="76"/>
        <v>3.6260504201680677</v>
      </c>
      <c r="P735">
        <f t="shared" si="80"/>
        <v>2460.7689578181821</v>
      </c>
    </row>
    <row r="736" spans="1:16">
      <c r="A736" s="27" t="s">
        <v>813</v>
      </c>
      <c r="B736" s="22" t="s">
        <v>859</v>
      </c>
      <c r="C736" s="23">
        <v>1.79</v>
      </c>
      <c r="D736" s="22">
        <v>2000</v>
      </c>
      <c r="E736" s="26">
        <v>1.93</v>
      </c>
      <c r="F736" s="26">
        <v>938.2</v>
      </c>
      <c r="G736" s="27">
        <v>38.5</v>
      </c>
      <c r="H736" s="24">
        <f t="shared" si="81"/>
        <v>11.525876254286716</v>
      </c>
      <c r="I736" s="25">
        <f t="shared" si="78"/>
        <v>7.6533810019483858E-3</v>
      </c>
      <c r="J736" s="24">
        <f t="shared" si="79"/>
        <v>7.5901911715174943E-3</v>
      </c>
      <c r="K736" s="14">
        <v>2.4</v>
      </c>
      <c r="L736" s="27">
        <v>7.83</v>
      </c>
      <c r="M736" s="27">
        <v>3.1</v>
      </c>
      <c r="N736" s="4">
        <f t="shared" si="75"/>
        <v>2.5258064516129033</v>
      </c>
      <c r="O736" s="20">
        <f t="shared" si="76"/>
        <v>4.3743016759776534</v>
      </c>
      <c r="P736">
        <f t="shared" si="80"/>
        <v>2295.0077818181821</v>
      </c>
    </row>
    <row r="737" spans="1:16">
      <c r="A737" s="27" t="s">
        <v>814</v>
      </c>
      <c r="B737" s="22" t="s">
        <v>859</v>
      </c>
      <c r="C737" s="23">
        <v>1.79</v>
      </c>
      <c r="D737" s="22">
        <v>1750</v>
      </c>
      <c r="E737" s="26">
        <v>1.93</v>
      </c>
      <c r="F737" s="26">
        <v>938.2</v>
      </c>
      <c r="G737" s="27">
        <v>38.5</v>
      </c>
      <c r="H737" s="24">
        <f t="shared" si="81"/>
        <v>10.085141722500879</v>
      </c>
      <c r="I737" s="25">
        <f t="shared" si="78"/>
        <v>5.8596198296167329E-3</v>
      </c>
      <c r="J737" s="24">
        <f t="shared" si="79"/>
        <v>7.5901911715174917E-3</v>
      </c>
      <c r="K737" s="14">
        <v>2.4</v>
      </c>
      <c r="L737" s="27">
        <v>7.8</v>
      </c>
      <c r="M737" s="27">
        <v>3.1</v>
      </c>
      <c r="N737" s="4">
        <f t="shared" si="75"/>
        <v>2.5161290322580645</v>
      </c>
      <c r="O737" s="20">
        <f t="shared" si="76"/>
        <v>4.3575418994413404</v>
      </c>
      <c r="P737">
        <f t="shared" si="80"/>
        <v>2295.0077818181821</v>
      </c>
    </row>
    <row r="738" spans="1:16">
      <c r="A738" s="27" t="s">
        <v>815</v>
      </c>
      <c r="B738" s="22" t="s">
        <v>859</v>
      </c>
      <c r="C738" s="23">
        <v>1.79</v>
      </c>
      <c r="D738" s="22">
        <v>1500</v>
      </c>
      <c r="E738" s="26">
        <v>1.93</v>
      </c>
      <c r="F738" s="26">
        <v>938.2</v>
      </c>
      <c r="G738" s="27">
        <v>38.5</v>
      </c>
      <c r="H738" s="24">
        <f t="shared" si="81"/>
        <v>8.6444071907150395</v>
      </c>
      <c r="I738" s="25">
        <f t="shared" si="78"/>
        <v>4.3050268135959666E-3</v>
      </c>
      <c r="J738" s="24">
        <f t="shared" si="79"/>
        <v>7.5901911715174917E-3</v>
      </c>
      <c r="K738" s="14">
        <v>2.4</v>
      </c>
      <c r="L738" s="27">
        <v>7.7</v>
      </c>
      <c r="M738" s="27">
        <v>3.07</v>
      </c>
      <c r="N738" s="4">
        <f t="shared" si="75"/>
        <v>2.5081433224755703</v>
      </c>
      <c r="O738" s="20">
        <f t="shared" si="76"/>
        <v>4.3016759776536313</v>
      </c>
      <c r="P738">
        <f t="shared" si="80"/>
        <v>2250.8032094545456</v>
      </c>
    </row>
    <row r="739" spans="1:16">
      <c r="A739" s="27" t="s">
        <v>816</v>
      </c>
      <c r="B739" s="22" t="s">
        <v>859</v>
      </c>
      <c r="C739" s="23">
        <v>1.79</v>
      </c>
      <c r="D739" s="22">
        <v>1250</v>
      </c>
      <c r="E739" s="26">
        <v>1.93</v>
      </c>
      <c r="F739" s="26">
        <v>938.2</v>
      </c>
      <c r="G739" s="27">
        <v>38.5</v>
      </c>
      <c r="H739" s="24">
        <f t="shared" si="81"/>
        <v>7.2036726589291975</v>
      </c>
      <c r="I739" s="25">
        <f t="shared" si="78"/>
        <v>2.9896019538860879E-3</v>
      </c>
      <c r="J739" s="24">
        <f t="shared" si="79"/>
        <v>7.5901911715174943E-3</v>
      </c>
      <c r="K739" s="14">
        <v>2.4</v>
      </c>
      <c r="L739" s="27">
        <v>7.7</v>
      </c>
      <c r="M739" s="27">
        <v>3.08</v>
      </c>
      <c r="N739" s="4">
        <f t="shared" si="75"/>
        <v>2.5</v>
      </c>
      <c r="O739" s="20">
        <f t="shared" si="76"/>
        <v>4.3016759776536313</v>
      </c>
      <c r="P739">
        <f t="shared" si="80"/>
        <v>2265.4903040000008</v>
      </c>
    </row>
    <row r="740" spans="1:16">
      <c r="A740" s="27" t="s">
        <v>817</v>
      </c>
      <c r="B740" s="22" t="s">
        <v>859</v>
      </c>
      <c r="C740" s="23">
        <v>1.79</v>
      </c>
      <c r="D740" s="22">
        <v>1000</v>
      </c>
      <c r="E740" s="26">
        <v>1.93</v>
      </c>
      <c r="F740" s="26">
        <v>938.2</v>
      </c>
      <c r="G740" s="27">
        <v>38.5</v>
      </c>
      <c r="H740" s="24">
        <f t="shared" si="81"/>
        <v>5.7629381271433582</v>
      </c>
      <c r="I740" s="25">
        <f t="shared" si="78"/>
        <v>1.9133452504870964E-3</v>
      </c>
      <c r="J740" s="24">
        <f t="shared" si="79"/>
        <v>7.5901911715174943E-3</v>
      </c>
      <c r="K740" s="14">
        <v>2.4</v>
      </c>
      <c r="L740" s="27">
        <v>7.68</v>
      </c>
      <c r="M740" s="27">
        <v>3.08</v>
      </c>
      <c r="N740" s="4">
        <f t="shared" si="75"/>
        <v>2.4935064935064934</v>
      </c>
      <c r="O740" s="20">
        <f t="shared" si="76"/>
        <v>4.2905027932960893</v>
      </c>
      <c r="P740">
        <f t="shared" si="80"/>
        <v>2265.4903040000008</v>
      </c>
    </row>
    <row r="741" spans="1:16">
      <c r="A741" s="27" t="s">
        <v>818</v>
      </c>
      <c r="B741" s="22" t="s">
        <v>859</v>
      </c>
      <c r="C741" s="23">
        <v>1.79</v>
      </c>
      <c r="D741" s="22">
        <v>750</v>
      </c>
      <c r="E741" s="26">
        <v>1.93</v>
      </c>
      <c r="F741" s="26">
        <v>938.2</v>
      </c>
      <c r="G741" s="27">
        <v>38.5</v>
      </c>
      <c r="H741" s="24">
        <f t="shared" si="81"/>
        <v>4.3222035953575197</v>
      </c>
      <c r="I741" s="25">
        <f t="shared" si="78"/>
        <v>1.0762567033989917E-3</v>
      </c>
      <c r="J741" s="24">
        <f t="shared" si="79"/>
        <v>7.5901911715174917E-3</v>
      </c>
      <c r="K741" s="14">
        <v>2.4</v>
      </c>
      <c r="L741" s="27">
        <v>7.52</v>
      </c>
      <c r="M741" s="27">
        <v>3.08</v>
      </c>
      <c r="N741" s="4">
        <f t="shared" si="75"/>
        <v>2.4415584415584415</v>
      </c>
      <c r="O741" s="20">
        <f t="shared" si="76"/>
        <v>4.2011173184357542</v>
      </c>
      <c r="P741">
        <f t="shared" si="80"/>
        <v>2265.4903040000008</v>
      </c>
    </row>
    <row r="742" spans="1:16">
      <c r="A742" s="27" t="s">
        <v>819</v>
      </c>
      <c r="B742" s="22" t="s">
        <v>859</v>
      </c>
      <c r="C742" s="23">
        <v>1.79</v>
      </c>
      <c r="D742" s="22">
        <v>500</v>
      </c>
      <c r="E742" s="26">
        <v>1.93</v>
      </c>
      <c r="F742" s="26">
        <v>938.2</v>
      </c>
      <c r="G742" s="27">
        <v>38.5</v>
      </c>
      <c r="H742" s="24">
        <f t="shared" si="81"/>
        <v>2.8814690635716791</v>
      </c>
      <c r="I742" s="25">
        <f t="shared" si="78"/>
        <v>4.7833631262177411E-4</v>
      </c>
      <c r="J742" s="24">
        <f t="shared" si="79"/>
        <v>7.5901911715174943E-3</v>
      </c>
      <c r="K742" s="14">
        <v>2.4</v>
      </c>
      <c r="L742" s="27">
        <v>7.58</v>
      </c>
      <c r="M742" s="27">
        <v>3.05</v>
      </c>
      <c r="N742" s="4">
        <f t="shared" si="75"/>
        <v>2.4852459016393444</v>
      </c>
      <c r="O742" s="20">
        <f t="shared" si="76"/>
        <v>4.2346368715083802</v>
      </c>
      <c r="P742">
        <f t="shared" si="80"/>
        <v>2221.5723090909091</v>
      </c>
    </row>
    <row r="743" spans="1:16">
      <c r="A743" s="27" t="s">
        <v>820</v>
      </c>
      <c r="B743" s="22" t="s">
        <v>859</v>
      </c>
      <c r="C743" s="23">
        <v>1.79</v>
      </c>
      <c r="D743" s="22">
        <v>250</v>
      </c>
      <c r="E743" s="26">
        <v>1.93</v>
      </c>
      <c r="F743" s="26">
        <v>938.2</v>
      </c>
      <c r="G743" s="27">
        <v>38.5</v>
      </c>
      <c r="H743" s="24">
        <f t="shared" si="81"/>
        <v>1.4407345317858395</v>
      </c>
      <c r="I743" s="25">
        <f t="shared" ref="I743:I806" si="82">(16 * F743 * (D743 * 10^-9 / 60)^2) / (PI()^2 * (C743 * 10^-3)^3 * (G743 * 10^-3))</f>
        <v>1.1958407815544353E-4</v>
      </c>
      <c r="J743" s="24">
        <f t="shared" ref="J743:J806" si="83">SQRT(I743)/H743</f>
        <v>7.5901911715174943E-3</v>
      </c>
      <c r="K743" s="14">
        <v>2.4</v>
      </c>
      <c r="L743" s="27">
        <v>7.41</v>
      </c>
      <c r="M743" s="27">
        <v>3.06</v>
      </c>
      <c r="N743" s="4">
        <f t="shared" si="75"/>
        <v>2.4215686274509802</v>
      </c>
      <c r="O743" s="20">
        <f t="shared" si="76"/>
        <v>4.1396648044692741</v>
      </c>
      <c r="P743">
        <f t="shared" si="80"/>
        <v>2236.1638778181823</v>
      </c>
    </row>
    <row r="744" spans="1:16">
      <c r="A744" s="27" t="s">
        <v>821</v>
      </c>
      <c r="B744" s="22" t="s">
        <v>859</v>
      </c>
      <c r="C744" s="23">
        <v>1.79</v>
      </c>
      <c r="D744" s="22">
        <v>100</v>
      </c>
      <c r="E744" s="26">
        <v>1.93</v>
      </c>
      <c r="F744" s="26">
        <v>938.2</v>
      </c>
      <c r="G744" s="27">
        <v>38.5</v>
      </c>
      <c r="H744" s="24">
        <f t="shared" si="81"/>
        <v>0.57629381271433588</v>
      </c>
      <c r="I744" s="25">
        <f t="shared" si="82"/>
        <v>1.9133452504870964E-5</v>
      </c>
      <c r="J744" s="24">
        <f t="shared" si="83"/>
        <v>7.5901911715174925E-3</v>
      </c>
      <c r="K744" s="14">
        <v>2.4</v>
      </c>
      <c r="L744" s="27">
        <v>7.45</v>
      </c>
      <c r="M744" s="27">
        <v>3.04</v>
      </c>
      <c r="N744" s="4">
        <f t="shared" si="75"/>
        <v>2.450657894736842</v>
      </c>
      <c r="O744" s="20">
        <f t="shared" si="76"/>
        <v>4.1620111731843572</v>
      </c>
      <c r="P744">
        <f t="shared" si="80"/>
        <v>2207.0285032727274</v>
      </c>
    </row>
    <row r="745" spans="1:16">
      <c r="A745" s="27" t="s">
        <v>822</v>
      </c>
      <c r="B745" s="22" t="s">
        <v>859</v>
      </c>
      <c r="C745" s="23">
        <v>1.37</v>
      </c>
      <c r="D745" s="22">
        <v>2000</v>
      </c>
      <c r="E745" s="26">
        <v>1.93</v>
      </c>
      <c r="F745" s="26">
        <v>938.2</v>
      </c>
      <c r="G745" s="27">
        <v>38.5</v>
      </c>
      <c r="H745" s="24">
        <f t="shared" si="81"/>
        <v>15.059356565819868</v>
      </c>
      <c r="I745" s="25">
        <f t="shared" si="82"/>
        <v>1.7070676232447918E-2</v>
      </c>
      <c r="J745" s="24">
        <f t="shared" si="83"/>
        <v>8.6759880741541871E-3</v>
      </c>
      <c r="K745" s="14">
        <v>1.8</v>
      </c>
      <c r="L745" s="27">
        <v>6.12</v>
      </c>
      <c r="M745" s="27">
        <v>2.89</v>
      </c>
      <c r="N745" s="4">
        <f t="shared" si="75"/>
        <v>2.1176470588235294</v>
      </c>
      <c r="O745" s="20">
        <f t="shared" si="76"/>
        <v>4.4671532846715323</v>
      </c>
      <c r="P745">
        <f t="shared" si="80"/>
        <v>1994.6029650909095</v>
      </c>
    </row>
    <row r="746" spans="1:16">
      <c r="A746" s="27" t="s">
        <v>823</v>
      </c>
      <c r="B746" s="22" t="s">
        <v>859</v>
      </c>
      <c r="C746" s="23">
        <v>1.37</v>
      </c>
      <c r="D746" s="22">
        <v>1750</v>
      </c>
      <c r="E746" s="26">
        <v>1.93</v>
      </c>
      <c r="F746" s="26">
        <v>938.2</v>
      </c>
      <c r="G746" s="27">
        <v>38.5</v>
      </c>
      <c r="H746" s="24">
        <f t="shared" si="81"/>
        <v>13.176936995092387</v>
      </c>
      <c r="I746" s="25">
        <f t="shared" si="82"/>
        <v>1.3069736490467937E-2</v>
      </c>
      <c r="J746" s="24">
        <f t="shared" si="83"/>
        <v>8.6759880741541871E-3</v>
      </c>
      <c r="K746" s="14">
        <v>1.8</v>
      </c>
      <c r="L746" s="27">
        <v>6.13</v>
      </c>
      <c r="M746" s="27">
        <v>2.89</v>
      </c>
      <c r="N746" s="4">
        <f t="shared" si="75"/>
        <v>2.121107266435986</v>
      </c>
      <c r="O746" s="20">
        <f t="shared" si="76"/>
        <v>4.4744525547445253</v>
      </c>
      <c r="P746">
        <f t="shared" si="80"/>
        <v>1994.6029650909095</v>
      </c>
    </row>
    <row r="747" spans="1:16">
      <c r="A747" s="27" t="s">
        <v>824</v>
      </c>
      <c r="B747" s="22" t="s">
        <v>859</v>
      </c>
      <c r="C747" s="23">
        <v>1.37</v>
      </c>
      <c r="D747" s="22">
        <v>1500</v>
      </c>
      <c r="E747" s="26">
        <v>1.93</v>
      </c>
      <c r="F747" s="26">
        <v>938.2</v>
      </c>
      <c r="G747" s="27">
        <v>38.5</v>
      </c>
      <c r="H747" s="24">
        <f t="shared" si="81"/>
        <v>11.294517424364903</v>
      </c>
      <c r="I747" s="25">
        <f t="shared" si="82"/>
        <v>9.602255380751953E-3</v>
      </c>
      <c r="J747" s="24">
        <f t="shared" si="83"/>
        <v>8.6759880741541853E-3</v>
      </c>
      <c r="K747" s="14">
        <v>1.8</v>
      </c>
      <c r="L747" s="27">
        <v>6.1</v>
      </c>
      <c r="M747" s="27">
        <v>2.89</v>
      </c>
      <c r="N747" s="4">
        <f t="shared" si="75"/>
        <v>2.1107266435986158</v>
      </c>
      <c r="O747" s="20">
        <f t="shared" si="76"/>
        <v>4.4525547445255471</v>
      </c>
      <c r="P747">
        <f t="shared" si="80"/>
        <v>1994.6029650909095</v>
      </c>
    </row>
    <row r="748" spans="1:16">
      <c r="A748" s="27" t="s">
        <v>825</v>
      </c>
      <c r="B748" s="22" t="s">
        <v>859</v>
      </c>
      <c r="C748" s="23">
        <v>1.37</v>
      </c>
      <c r="D748" s="22">
        <v>1250</v>
      </c>
      <c r="E748" s="26">
        <v>1.93</v>
      </c>
      <c r="F748" s="26">
        <v>938.2</v>
      </c>
      <c r="G748" s="27">
        <v>38.5</v>
      </c>
      <c r="H748" s="24">
        <f t="shared" si="81"/>
        <v>9.4120978536374178</v>
      </c>
      <c r="I748" s="25">
        <f t="shared" si="82"/>
        <v>6.6682329032999674E-3</v>
      </c>
      <c r="J748" s="24">
        <f t="shared" si="83"/>
        <v>8.6759880741541871E-3</v>
      </c>
      <c r="K748" s="14">
        <v>1.8</v>
      </c>
      <c r="L748" s="27">
        <v>6.07</v>
      </c>
      <c r="M748" s="27">
        <v>2.88</v>
      </c>
      <c r="N748" s="4">
        <f t="shared" si="75"/>
        <v>2.1076388888888893</v>
      </c>
      <c r="O748" s="20">
        <f t="shared" si="76"/>
        <v>4.4306569343065689</v>
      </c>
      <c r="P748">
        <f t="shared" si="80"/>
        <v>1980.8233658181819</v>
      </c>
    </row>
    <row r="749" spans="1:16">
      <c r="A749" s="27" t="s">
        <v>826</v>
      </c>
      <c r="B749" s="22" t="s">
        <v>859</v>
      </c>
      <c r="C749" s="23">
        <v>1.37</v>
      </c>
      <c r="D749" s="22">
        <v>1000</v>
      </c>
      <c r="E749" s="26">
        <v>1.93</v>
      </c>
      <c r="F749" s="26">
        <v>938.2</v>
      </c>
      <c r="G749" s="27">
        <v>38.5</v>
      </c>
      <c r="H749" s="24">
        <f t="shared" si="81"/>
        <v>7.5296782829099342</v>
      </c>
      <c r="I749" s="25">
        <f t="shared" si="82"/>
        <v>4.2676690581119796E-3</v>
      </c>
      <c r="J749" s="24">
        <f t="shared" si="83"/>
        <v>8.6759880741541871E-3</v>
      </c>
      <c r="K749" s="14">
        <v>1.8</v>
      </c>
      <c r="L749" s="27">
        <v>6</v>
      </c>
      <c r="M749" s="27">
        <v>2.87</v>
      </c>
      <c r="N749" s="4">
        <f t="shared" si="75"/>
        <v>2.0905923344947737</v>
      </c>
      <c r="O749" s="20">
        <f t="shared" si="76"/>
        <v>4.3795620437956204</v>
      </c>
      <c r="P749">
        <f t="shared" si="80"/>
        <v>1967.0915294545457</v>
      </c>
    </row>
    <row r="750" spans="1:16">
      <c r="A750" s="27" t="s">
        <v>827</v>
      </c>
      <c r="B750" s="22" t="s">
        <v>859</v>
      </c>
      <c r="C750" s="23">
        <v>1.37</v>
      </c>
      <c r="D750" s="22">
        <v>750</v>
      </c>
      <c r="E750" s="26">
        <v>1.93</v>
      </c>
      <c r="F750" s="26">
        <v>938.2</v>
      </c>
      <c r="G750" s="27">
        <v>38.5</v>
      </c>
      <c r="H750" s="24">
        <f t="shared" si="81"/>
        <v>5.6472587121824516</v>
      </c>
      <c r="I750" s="25">
        <f t="shared" si="82"/>
        <v>2.4005638451879883E-3</v>
      </c>
      <c r="J750" s="24">
        <f t="shared" si="83"/>
        <v>8.6759880741541853E-3</v>
      </c>
      <c r="K750" s="14">
        <v>1.8</v>
      </c>
      <c r="L750" s="27">
        <v>5.98</v>
      </c>
      <c r="M750" s="27">
        <v>2.86</v>
      </c>
      <c r="N750" s="4">
        <f t="shared" si="75"/>
        <v>2.0909090909090913</v>
      </c>
      <c r="O750" s="20">
        <f t="shared" si="76"/>
        <v>4.3649635036496353</v>
      </c>
      <c r="P750">
        <f t="shared" si="80"/>
        <v>1953.4074559999999</v>
      </c>
    </row>
    <row r="751" spans="1:16">
      <c r="A751" s="27" t="s">
        <v>828</v>
      </c>
      <c r="B751" s="22" t="s">
        <v>859</v>
      </c>
      <c r="C751" s="23">
        <v>1.37</v>
      </c>
      <c r="D751" s="22">
        <v>500</v>
      </c>
      <c r="E751" s="26">
        <v>1.93</v>
      </c>
      <c r="F751" s="26">
        <v>938.2</v>
      </c>
      <c r="G751" s="27">
        <v>38.5</v>
      </c>
      <c r="H751" s="24">
        <f t="shared" si="81"/>
        <v>3.7648391414549671</v>
      </c>
      <c r="I751" s="25">
        <f t="shared" si="82"/>
        <v>1.0669172645279949E-3</v>
      </c>
      <c r="J751" s="24">
        <f t="shared" si="83"/>
        <v>8.6759880741541871E-3</v>
      </c>
      <c r="K751" s="14">
        <v>1.8</v>
      </c>
      <c r="L751" s="27">
        <v>5.83</v>
      </c>
      <c r="M751" s="27">
        <v>2.84</v>
      </c>
      <c r="N751" s="4">
        <f t="shared" si="75"/>
        <v>2.052816901408451</v>
      </c>
      <c r="O751" s="20">
        <f t="shared" si="76"/>
        <v>4.2554744525547443</v>
      </c>
      <c r="P751">
        <f t="shared" si="80"/>
        <v>1926.1825978181816</v>
      </c>
    </row>
    <row r="752" spans="1:16">
      <c r="A752" s="27" t="s">
        <v>829</v>
      </c>
      <c r="B752" s="22" t="s">
        <v>859</v>
      </c>
      <c r="C752" s="23">
        <v>1.37</v>
      </c>
      <c r="D752" s="22">
        <v>250</v>
      </c>
      <c r="E752" s="26">
        <v>1.93</v>
      </c>
      <c r="F752" s="26">
        <v>938.2</v>
      </c>
      <c r="G752" s="27">
        <v>38.5</v>
      </c>
      <c r="H752" s="24">
        <f t="shared" si="81"/>
        <v>1.8824195707274836</v>
      </c>
      <c r="I752" s="25">
        <f t="shared" si="82"/>
        <v>2.6672931613199873E-4</v>
      </c>
      <c r="J752" s="24">
        <f t="shared" si="83"/>
        <v>8.6759880741541871E-3</v>
      </c>
      <c r="K752" s="14">
        <v>1.8</v>
      </c>
      <c r="L752" s="27">
        <v>5.85</v>
      </c>
      <c r="M752" s="27">
        <v>2.83</v>
      </c>
      <c r="N752" s="4">
        <f t="shared" si="75"/>
        <v>2.0671378091872792</v>
      </c>
      <c r="O752" s="20">
        <f t="shared" si="76"/>
        <v>4.2700729927007295</v>
      </c>
      <c r="P752">
        <f t="shared" si="80"/>
        <v>1912.6418130909094</v>
      </c>
    </row>
    <row r="753" spans="1:16">
      <c r="A753" s="27" t="s">
        <v>830</v>
      </c>
      <c r="B753" s="22" t="s">
        <v>859</v>
      </c>
      <c r="C753" s="23">
        <v>1.37</v>
      </c>
      <c r="D753" s="22">
        <v>100</v>
      </c>
      <c r="E753" s="26">
        <v>1.93</v>
      </c>
      <c r="F753" s="26">
        <v>938.2</v>
      </c>
      <c r="G753" s="27">
        <v>38.5</v>
      </c>
      <c r="H753" s="24">
        <f t="shared" si="81"/>
        <v>0.75296782829099351</v>
      </c>
      <c r="I753" s="25">
        <f t="shared" si="82"/>
        <v>4.2676690581119798E-5</v>
      </c>
      <c r="J753" s="24">
        <f t="shared" si="83"/>
        <v>8.6759880741541871E-3</v>
      </c>
      <c r="K753" s="14">
        <v>1.8</v>
      </c>
      <c r="L753" s="27">
        <v>5.77</v>
      </c>
      <c r="M753" s="27">
        <v>2.84</v>
      </c>
      <c r="N753" s="4">
        <f t="shared" si="75"/>
        <v>2.0316901408450705</v>
      </c>
      <c r="O753" s="20">
        <f t="shared" si="76"/>
        <v>4.211678832116788</v>
      </c>
      <c r="P753">
        <f t="shared" si="80"/>
        <v>1926.1825978181816</v>
      </c>
    </row>
    <row r="754" spans="1:16">
      <c r="A754" s="27" t="s">
        <v>831</v>
      </c>
      <c r="B754" s="22" t="s">
        <v>859</v>
      </c>
      <c r="C754" s="28">
        <v>0.83</v>
      </c>
      <c r="D754" s="22">
        <v>2000</v>
      </c>
      <c r="E754" s="26">
        <v>1.93</v>
      </c>
      <c r="F754" s="26">
        <v>938.2</v>
      </c>
      <c r="G754" s="27">
        <v>38.5</v>
      </c>
      <c r="H754" s="24">
        <f t="shared" si="81"/>
        <v>24.857010235148461</v>
      </c>
      <c r="I754" s="25">
        <f t="shared" si="82"/>
        <v>7.6767632951315196E-2</v>
      </c>
      <c r="J754" s="24">
        <f t="shared" si="83"/>
        <v>1.1146542692482388E-2</v>
      </c>
      <c r="K754" s="14">
        <v>1.27</v>
      </c>
      <c r="L754" s="27">
        <v>4.47</v>
      </c>
      <c r="M754" s="27">
        <v>2.68</v>
      </c>
      <c r="N754" s="4">
        <f t="shared" si="75"/>
        <v>1.6679104477611939</v>
      </c>
      <c r="O754" s="20">
        <f t="shared" si="76"/>
        <v>5.3855421686746991</v>
      </c>
      <c r="P754">
        <f t="shared" si="80"/>
        <v>1715.2615912727276</v>
      </c>
    </row>
    <row r="755" spans="1:16">
      <c r="A755" s="27" t="s">
        <v>832</v>
      </c>
      <c r="B755" s="22" t="s">
        <v>859</v>
      </c>
      <c r="C755" s="28">
        <v>0.83</v>
      </c>
      <c r="D755" s="22">
        <v>1750</v>
      </c>
      <c r="E755" s="26">
        <v>1.93</v>
      </c>
      <c r="F755" s="26">
        <v>938.2</v>
      </c>
      <c r="G755" s="27">
        <v>38.5</v>
      </c>
      <c r="H755" s="24">
        <f t="shared" si="81"/>
        <v>21.749883955754907</v>
      </c>
      <c r="I755" s="25">
        <f t="shared" si="82"/>
        <v>5.8775218978350696E-2</v>
      </c>
      <c r="J755" s="24">
        <f t="shared" si="83"/>
        <v>1.1146542692482386E-2</v>
      </c>
      <c r="K755" s="14">
        <v>1.27</v>
      </c>
      <c r="L755" s="27">
        <v>4.5599999999999996</v>
      </c>
      <c r="M755" s="27">
        <v>2.67</v>
      </c>
      <c r="N755" s="4">
        <f t="shared" si="75"/>
        <v>1.7078651685393258</v>
      </c>
      <c r="O755" s="20">
        <f t="shared" si="76"/>
        <v>5.4939759036144578</v>
      </c>
      <c r="P755">
        <f t="shared" si="80"/>
        <v>1702.4850130909094</v>
      </c>
    </row>
    <row r="756" spans="1:16">
      <c r="A756" s="27" t="s">
        <v>833</v>
      </c>
      <c r="B756" s="22" t="s">
        <v>859</v>
      </c>
      <c r="C756" s="28">
        <v>0.83</v>
      </c>
      <c r="D756" s="22">
        <v>1500</v>
      </c>
      <c r="E756" s="26">
        <v>1.93</v>
      </c>
      <c r="F756" s="26">
        <v>938.2</v>
      </c>
      <c r="G756" s="27">
        <v>38.5</v>
      </c>
      <c r="H756" s="24">
        <f t="shared" si="81"/>
        <v>18.642757676361349</v>
      </c>
      <c r="I756" s="25">
        <f t="shared" si="82"/>
        <v>4.3181793535114789E-2</v>
      </c>
      <c r="J756" s="24">
        <f t="shared" si="83"/>
        <v>1.1146542692482385E-2</v>
      </c>
      <c r="K756" s="14">
        <v>1.27</v>
      </c>
      <c r="L756" s="27">
        <v>4.57</v>
      </c>
      <c r="M756" s="27">
        <v>2.67</v>
      </c>
      <c r="N756" s="4">
        <f t="shared" si="75"/>
        <v>1.711610486891386</v>
      </c>
      <c r="O756" s="20">
        <f t="shared" si="76"/>
        <v>5.5060240963855431</v>
      </c>
      <c r="P756">
        <f t="shared" si="80"/>
        <v>1702.4850130909094</v>
      </c>
    </row>
    <row r="757" spans="1:16">
      <c r="A757" s="27" t="s">
        <v>834</v>
      </c>
      <c r="B757" s="22" t="s">
        <v>859</v>
      </c>
      <c r="C757" s="28">
        <v>0.83</v>
      </c>
      <c r="D757" s="22">
        <v>1250</v>
      </c>
      <c r="E757" s="26">
        <v>1.93</v>
      </c>
      <c r="F757" s="26">
        <v>938.2</v>
      </c>
      <c r="G757" s="27">
        <v>38.5</v>
      </c>
      <c r="H757" s="24">
        <f t="shared" si="81"/>
        <v>15.535631396967789</v>
      </c>
      <c r="I757" s="25">
        <f t="shared" si="82"/>
        <v>2.9987356621607494E-2</v>
      </c>
      <c r="J757" s="24">
        <f t="shared" si="83"/>
        <v>1.1146542692482386E-2</v>
      </c>
      <c r="K757" s="14">
        <v>1.27</v>
      </c>
      <c r="L757" s="27">
        <v>4.47</v>
      </c>
      <c r="M757" s="27">
        <v>2.67</v>
      </c>
      <c r="N757" s="4">
        <f t="shared" si="75"/>
        <v>1.6741573033707864</v>
      </c>
      <c r="O757" s="20">
        <f t="shared" si="76"/>
        <v>5.3855421686746991</v>
      </c>
      <c r="P757">
        <f t="shared" si="80"/>
        <v>1702.4850130909094</v>
      </c>
    </row>
    <row r="758" spans="1:16">
      <c r="A758" s="27" t="s">
        <v>835</v>
      </c>
      <c r="B758" s="22" t="s">
        <v>859</v>
      </c>
      <c r="C758" s="28">
        <v>0.83</v>
      </c>
      <c r="D758" s="22">
        <v>1000</v>
      </c>
      <c r="E758" s="26">
        <v>1.93</v>
      </c>
      <c r="F758" s="26">
        <v>938.2</v>
      </c>
      <c r="G758" s="27">
        <v>38.5</v>
      </c>
      <c r="H758" s="24">
        <f t="shared" si="81"/>
        <v>12.428505117574231</v>
      </c>
      <c r="I758" s="25">
        <f t="shared" si="82"/>
        <v>1.9191908237828799E-2</v>
      </c>
      <c r="J758" s="24">
        <f t="shared" si="83"/>
        <v>1.1146542692482388E-2</v>
      </c>
      <c r="K758" s="14">
        <v>1.27</v>
      </c>
      <c r="L758" s="27">
        <v>4.62</v>
      </c>
      <c r="M758" s="27">
        <v>2.7</v>
      </c>
      <c r="N758" s="4">
        <f t="shared" si="75"/>
        <v>1.711111111111111</v>
      </c>
      <c r="O758" s="20">
        <f t="shared" si="76"/>
        <v>5.5662650602409647</v>
      </c>
      <c r="P758">
        <f t="shared" si="80"/>
        <v>1740.9580363636367</v>
      </c>
    </row>
    <row r="759" spans="1:16">
      <c r="A759" s="27" t="s">
        <v>836</v>
      </c>
      <c r="B759" s="22" t="s">
        <v>859</v>
      </c>
      <c r="C759" s="28">
        <v>0.83</v>
      </c>
      <c r="D759" s="22">
        <v>750</v>
      </c>
      <c r="E759" s="26">
        <v>1.93</v>
      </c>
      <c r="F759" s="26">
        <v>938.2</v>
      </c>
      <c r="G759" s="27">
        <v>38.5</v>
      </c>
      <c r="H759" s="24">
        <f t="shared" si="81"/>
        <v>9.3213788381806744</v>
      </c>
      <c r="I759" s="25">
        <f t="shared" si="82"/>
        <v>1.0795448383778697E-2</v>
      </c>
      <c r="J759" s="24">
        <f t="shared" si="83"/>
        <v>1.1146542692482385E-2</v>
      </c>
      <c r="K759" s="14">
        <v>1.27</v>
      </c>
      <c r="L759" s="27">
        <v>4.3600000000000003</v>
      </c>
      <c r="M759" s="27">
        <v>2.66</v>
      </c>
      <c r="N759" s="4">
        <f t="shared" si="75"/>
        <v>1.6390977443609023</v>
      </c>
      <c r="O759" s="20">
        <f t="shared" si="76"/>
        <v>5.2530120481927716</v>
      </c>
      <c r="P759">
        <f t="shared" si="80"/>
        <v>1689.756197818182</v>
      </c>
    </row>
    <row r="760" spans="1:16">
      <c r="A760" s="27" t="s">
        <v>837</v>
      </c>
      <c r="B760" s="22" t="s">
        <v>859</v>
      </c>
      <c r="C760" s="28">
        <v>0.83</v>
      </c>
      <c r="D760" s="22">
        <v>500</v>
      </c>
      <c r="E760" s="26">
        <v>1.93</v>
      </c>
      <c r="F760" s="26">
        <v>938.2</v>
      </c>
      <c r="G760" s="27">
        <v>38.5</v>
      </c>
      <c r="H760" s="24">
        <f t="shared" si="81"/>
        <v>6.2142525587871154</v>
      </c>
      <c r="I760" s="25">
        <f t="shared" si="82"/>
        <v>4.7979770594571997E-3</v>
      </c>
      <c r="J760" s="24">
        <f t="shared" si="83"/>
        <v>1.1146542692482388E-2</v>
      </c>
      <c r="K760" s="14">
        <v>1.27</v>
      </c>
      <c r="L760" s="27">
        <v>4.25</v>
      </c>
      <c r="M760" s="27">
        <v>2.63</v>
      </c>
      <c r="N760" s="4">
        <f t="shared" si="75"/>
        <v>1.6159695817490496</v>
      </c>
      <c r="O760" s="20">
        <f t="shared" si="76"/>
        <v>5.120481927710844</v>
      </c>
      <c r="P760">
        <f t="shared" si="80"/>
        <v>1651.8563294545454</v>
      </c>
    </row>
    <row r="761" spans="1:16">
      <c r="A761" s="27" t="s">
        <v>838</v>
      </c>
      <c r="B761" s="22" t="s">
        <v>859</v>
      </c>
      <c r="C761" s="28">
        <v>0.83</v>
      </c>
      <c r="D761" s="22">
        <v>250</v>
      </c>
      <c r="E761" s="26">
        <v>1.93</v>
      </c>
      <c r="F761" s="26">
        <v>938.2</v>
      </c>
      <c r="G761" s="27">
        <v>38.5</v>
      </c>
      <c r="H761" s="24">
        <f t="shared" si="81"/>
        <v>3.1071262793935577</v>
      </c>
      <c r="I761" s="25">
        <f t="shared" si="82"/>
        <v>1.1994942648642999E-3</v>
      </c>
      <c r="J761" s="24">
        <f t="shared" si="83"/>
        <v>1.1146542692482388E-2</v>
      </c>
      <c r="K761" s="14">
        <v>1.27</v>
      </c>
      <c r="L761" s="27">
        <v>4.28</v>
      </c>
      <c r="M761" s="27">
        <v>2.63</v>
      </c>
      <c r="N761" s="4">
        <f t="shared" si="75"/>
        <v>1.6273764258555135</v>
      </c>
      <c r="O761" s="20">
        <f t="shared" si="76"/>
        <v>5.1566265060240966</v>
      </c>
      <c r="P761">
        <f t="shared" si="80"/>
        <v>1651.8563294545454</v>
      </c>
    </row>
    <row r="762" spans="1:16">
      <c r="A762" s="27" t="s">
        <v>839</v>
      </c>
      <c r="B762" s="22" t="s">
        <v>859</v>
      </c>
      <c r="C762" s="28">
        <v>0.83</v>
      </c>
      <c r="D762" s="22">
        <v>100</v>
      </c>
      <c r="E762" s="26">
        <v>1.93</v>
      </c>
      <c r="F762" s="26">
        <v>938.2</v>
      </c>
      <c r="G762" s="27">
        <v>38.5</v>
      </c>
      <c r="H762" s="24">
        <f t="shared" si="81"/>
        <v>1.2428505117574233</v>
      </c>
      <c r="I762" s="25">
        <f t="shared" si="82"/>
        <v>1.9191908237828801E-4</v>
      </c>
      <c r="J762" s="24">
        <f t="shared" si="83"/>
        <v>1.1146542692482386E-2</v>
      </c>
      <c r="K762" s="14">
        <v>1.27</v>
      </c>
      <c r="L762" s="27">
        <v>4.3099999999999996</v>
      </c>
      <c r="M762" s="27">
        <v>2.6</v>
      </c>
      <c r="N762" s="4">
        <f t="shared" si="75"/>
        <v>1.6576923076923076</v>
      </c>
      <c r="O762" s="20">
        <f t="shared" si="76"/>
        <v>5.1927710843373491</v>
      </c>
      <c r="P762">
        <f t="shared" si="80"/>
        <v>1614.3863272727276</v>
      </c>
    </row>
    <row r="763" spans="1:16">
      <c r="A763" s="27" t="s">
        <v>840</v>
      </c>
      <c r="B763" s="22" t="s">
        <v>859</v>
      </c>
      <c r="C763" s="28">
        <v>0.25</v>
      </c>
      <c r="D763" s="22">
        <v>2000</v>
      </c>
      <c r="E763" s="26">
        <v>1.93</v>
      </c>
      <c r="F763" s="26">
        <v>938.2</v>
      </c>
      <c r="G763" s="27">
        <v>38.5</v>
      </c>
      <c r="H763" s="24">
        <f t="shared" si="81"/>
        <v>82.525273980692901</v>
      </c>
      <c r="I763" s="25">
        <f t="shared" si="82"/>
        <v>2.8092630107093544</v>
      </c>
      <c r="J763" s="24">
        <f t="shared" si="83"/>
        <v>2.0309967367391404E-2</v>
      </c>
      <c r="K763" s="14">
        <v>0.51</v>
      </c>
      <c r="L763" s="27">
        <v>2.61</v>
      </c>
      <c r="M763" s="27">
        <v>2.09</v>
      </c>
      <c r="N763" s="4">
        <f t="shared" si="75"/>
        <v>1.2488038277511961</v>
      </c>
      <c r="O763" s="20">
        <f t="shared" si="76"/>
        <v>10.44</v>
      </c>
      <c r="P763">
        <f t="shared" si="80"/>
        <v>1043.1658159999999</v>
      </c>
    </row>
    <row r="764" spans="1:16">
      <c r="A764" s="27" t="s">
        <v>841</v>
      </c>
      <c r="B764" s="22" t="s">
        <v>859</v>
      </c>
      <c r="C764" s="28">
        <v>0.25</v>
      </c>
      <c r="D764" s="22">
        <v>1750</v>
      </c>
      <c r="E764" s="26">
        <v>1.93</v>
      </c>
      <c r="F764" s="26">
        <v>938.2</v>
      </c>
      <c r="G764" s="27">
        <v>38.5</v>
      </c>
      <c r="H764" s="24">
        <f t="shared" si="81"/>
        <v>72.209614733106307</v>
      </c>
      <c r="I764" s="25">
        <f t="shared" si="82"/>
        <v>2.1508419925743492</v>
      </c>
      <c r="J764" s="24">
        <f t="shared" si="83"/>
        <v>2.03099673673914E-2</v>
      </c>
      <c r="K764" s="14">
        <v>0.51</v>
      </c>
      <c r="L764" s="27">
        <v>2.59</v>
      </c>
      <c r="M764" s="27">
        <v>2.1</v>
      </c>
      <c r="N764" s="4">
        <f t="shared" si="75"/>
        <v>1.2333333333333332</v>
      </c>
      <c r="O764" s="20">
        <f t="shared" si="76"/>
        <v>10.36</v>
      </c>
      <c r="P764">
        <f t="shared" si="80"/>
        <v>1053.1721454545457</v>
      </c>
    </row>
    <row r="765" spans="1:16">
      <c r="A765" s="27" t="s">
        <v>842</v>
      </c>
      <c r="B765" s="22" t="s">
        <v>859</v>
      </c>
      <c r="C765" s="28">
        <v>0.25</v>
      </c>
      <c r="D765" s="22">
        <v>1500</v>
      </c>
      <c r="E765" s="26">
        <v>1.93</v>
      </c>
      <c r="F765" s="26">
        <v>938.2</v>
      </c>
      <c r="G765" s="27">
        <v>38.5</v>
      </c>
      <c r="H765" s="24">
        <f t="shared" si="81"/>
        <v>61.89395548551969</v>
      </c>
      <c r="I765" s="25">
        <f t="shared" si="82"/>
        <v>1.5802104435240114</v>
      </c>
      <c r="J765" s="24">
        <f t="shared" si="83"/>
        <v>2.03099673673914E-2</v>
      </c>
      <c r="K765" s="14">
        <v>0.51</v>
      </c>
      <c r="L765" s="27">
        <v>2.67</v>
      </c>
      <c r="M765" s="27">
        <v>2.14</v>
      </c>
      <c r="N765" s="4">
        <f t="shared" si="75"/>
        <v>1.247663551401869</v>
      </c>
      <c r="O765" s="20">
        <f t="shared" si="76"/>
        <v>10.68</v>
      </c>
      <c r="P765">
        <f t="shared" si="80"/>
        <v>1093.6750923636366</v>
      </c>
    </row>
    <row r="766" spans="1:16">
      <c r="A766" s="27" t="s">
        <v>843</v>
      </c>
      <c r="B766" s="22" t="s">
        <v>859</v>
      </c>
      <c r="C766" s="28">
        <v>0.25</v>
      </c>
      <c r="D766" s="22">
        <v>1250</v>
      </c>
      <c r="E766" s="26">
        <v>1.93</v>
      </c>
      <c r="F766" s="26">
        <v>938.2</v>
      </c>
      <c r="G766" s="27">
        <v>38.5</v>
      </c>
      <c r="H766" s="24">
        <f t="shared" si="81"/>
        <v>51.578296237933067</v>
      </c>
      <c r="I766" s="25">
        <f t="shared" si="82"/>
        <v>1.0973683635583413</v>
      </c>
      <c r="J766" s="24">
        <f t="shared" si="83"/>
        <v>2.0309967367391404E-2</v>
      </c>
      <c r="K766" s="14">
        <v>0.51</v>
      </c>
      <c r="L766" s="27">
        <v>2.6</v>
      </c>
      <c r="M766" s="27">
        <v>2.09</v>
      </c>
      <c r="N766" s="4">
        <f t="shared" si="75"/>
        <v>1.2440191387559809</v>
      </c>
      <c r="O766" s="20">
        <f t="shared" si="76"/>
        <v>10.4</v>
      </c>
      <c r="P766">
        <f t="shared" si="80"/>
        <v>1043.1658159999999</v>
      </c>
    </row>
    <row r="767" spans="1:16">
      <c r="A767" s="27" t="s">
        <v>844</v>
      </c>
      <c r="B767" s="22" t="s">
        <v>859</v>
      </c>
      <c r="C767" s="28">
        <v>0.25</v>
      </c>
      <c r="D767" s="22">
        <v>1000</v>
      </c>
      <c r="E767" s="26">
        <v>1.93</v>
      </c>
      <c r="F767" s="26">
        <v>938.2</v>
      </c>
      <c r="G767" s="27">
        <v>38.5</v>
      </c>
      <c r="H767" s="24">
        <f t="shared" si="81"/>
        <v>41.262636990346451</v>
      </c>
      <c r="I767" s="25">
        <f t="shared" si="82"/>
        <v>0.70231575267733859</v>
      </c>
      <c r="J767" s="24">
        <f t="shared" si="83"/>
        <v>2.0309967367391404E-2</v>
      </c>
      <c r="K767" s="14">
        <v>0.51</v>
      </c>
      <c r="L767" s="27">
        <v>2.65</v>
      </c>
      <c r="M767" s="27">
        <v>2.11</v>
      </c>
      <c r="N767" s="4">
        <f t="shared" si="75"/>
        <v>1.2559241706161137</v>
      </c>
      <c r="O767" s="20">
        <f t="shared" si="76"/>
        <v>10.6</v>
      </c>
      <c r="P767">
        <f t="shared" si="80"/>
        <v>1063.2262378181817</v>
      </c>
    </row>
    <row r="768" spans="1:16">
      <c r="A768" s="27" t="s">
        <v>845</v>
      </c>
      <c r="B768" s="22" t="s">
        <v>859</v>
      </c>
      <c r="C768" s="28">
        <v>0.25</v>
      </c>
      <c r="D768" s="22">
        <v>750</v>
      </c>
      <c r="E768" s="26">
        <v>1.93</v>
      </c>
      <c r="F768" s="26">
        <v>938.2</v>
      </c>
      <c r="G768" s="27">
        <v>38.5</v>
      </c>
      <c r="H768" s="24">
        <f t="shared" si="81"/>
        <v>30.946977742759845</v>
      </c>
      <c r="I768" s="25">
        <f t="shared" si="82"/>
        <v>0.39505261088100285</v>
      </c>
      <c r="J768" s="24">
        <f t="shared" si="83"/>
        <v>2.03099673673914E-2</v>
      </c>
      <c r="K768" s="14">
        <v>0.51</v>
      </c>
      <c r="L768" s="27">
        <v>2.6</v>
      </c>
      <c r="M768" s="27">
        <v>2.09</v>
      </c>
      <c r="N768" s="4">
        <f t="shared" si="75"/>
        <v>1.2440191387559809</v>
      </c>
      <c r="O768" s="20">
        <f t="shared" si="76"/>
        <v>10.4</v>
      </c>
      <c r="P768">
        <f t="shared" si="80"/>
        <v>1043.1658159999999</v>
      </c>
    </row>
    <row r="769" spans="1:16">
      <c r="A769" s="27" t="s">
        <v>846</v>
      </c>
      <c r="B769" s="22" t="s">
        <v>859</v>
      </c>
      <c r="C769" s="28">
        <v>0.25</v>
      </c>
      <c r="D769" s="22">
        <v>500</v>
      </c>
      <c r="E769" s="26">
        <v>1.93</v>
      </c>
      <c r="F769" s="26">
        <v>938.2</v>
      </c>
      <c r="G769" s="27">
        <v>38.5</v>
      </c>
      <c r="H769" s="24">
        <f t="shared" si="81"/>
        <v>20.631318495173225</v>
      </c>
      <c r="I769" s="25">
        <f t="shared" si="82"/>
        <v>0.17557893816933465</v>
      </c>
      <c r="J769" s="24">
        <f t="shared" si="83"/>
        <v>2.0309967367391404E-2</v>
      </c>
      <c r="K769" s="14">
        <v>0.51</v>
      </c>
      <c r="L769" s="27">
        <v>2.65</v>
      </c>
      <c r="M769" s="27">
        <v>2.09</v>
      </c>
      <c r="N769" s="4">
        <f t="shared" si="75"/>
        <v>1.2679425837320575</v>
      </c>
      <c r="O769" s="20">
        <f t="shared" si="76"/>
        <v>10.6</v>
      </c>
      <c r="P769">
        <f t="shared" si="80"/>
        <v>1043.1658159999999</v>
      </c>
    </row>
    <row r="770" spans="1:16">
      <c r="A770" s="27" t="s">
        <v>847</v>
      </c>
      <c r="B770" s="22" t="s">
        <v>859</v>
      </c>
      <c r="C770" s="28">
        <v>0.25</v>
      </c>
      <c r="D770" s="22">
        <v>250</v>
      </c>
      <c r="E770" s="26">
        <v>1.93</v>
      </c>
      <c r="F770" s="26">
        <v>938.2</v>
      </c>
      <c r="G770" s="27">
        <v>38.5</v>
      </c>
      <c r="H770" s="24">
        <f t="shared" si="81"/>
        <v>10.315659247586613</v>
      </c>
      <c r="I770" s="25">
        <f t="shared" si="82"/>
        <v>4.3894734542333662E-2</v>
      </c>
      <c r="J770" s="24">
        <f t="shared" si="83"/>
        <v>2.0309967367391404E-2</v>
      </c>
      <c r="K770" s="14">
        <v>0.51</v>
      </c>
      <c r="L770" s="27">
        <v>2.62</v>
      </c>
      <c r="M770" s="27">
        <v>2.0699999999999998</v>
      </c>
      <c r="N770" s="4">
        <f t="shared" si="75"/>
        <v>1.2657004830917875</v>
      </c>
      <c r="O770" s="20">
        <f t="shared" si="76"/>
        <v>10.48</v>
      </c>
      <c r="P770">
        <f t="shared" si="80"/>
        <v>1023.2964458181817</v>
      </c>
    </row>
    <row r="771" spans="1:16">
      <c r="A771" s="27" t="s">
        <v>848</v>
      </c>
      <c r="B771" s="22" t="s">
        <v>859</v>
      </c>
      <c r="C771" s="28">
        <v>0.25</v>
      </c>
      <c r="D771" s="22">
        <v>100</v>
      </c>
      <c r="E771" s="26">
        <v>1.93</v>
      </c>
      <c r="F771" s="26">
        <v>938.2</v>
      </c>
      <c r="G771" s="27">
        <v>38.5</v>
      </c>
      <c r="H771" s="24">
        <f t="shared" si="81"/>
        <v>4.126263699034646</v>
      </c>
      <c r="I771" s="25">
        <f t="shared" si="82"/>
        <v>7.0231575267733857E-3</v>
      </c>
      <c r="J771" s="24">
        <f t="shared" si="83"/>
        <v>2.03099673673914E-2</v>
      </c>
      <c r="K771" s="14">
        <v>0.51</v>
      </c>
      <c r="L771" s="27">
        <v>2.62</v>
      </c>
      <c r="M771" s="27">
        <v>2.09</v>
      </c>
      <c r="N771" s="4">
        <f t="shared" si="75"/>
        <v>1.2535885167464116</v>
      </c>
      <c r="O771" s="20">
        <f t="shared" si="76"/>
        <v>10.48</v>
      </c>
      <c r="P771">
        <f t="shared" si="80"/>
        <v>1043.1658159999999</v>
      </c>
    </row>
    <row r="772" spans="1:16">
      <c r="A772" s="27" t="s">
        <v>849</v>
      </c>
      <c r="B772" s="22" t="s">
        <v>859</v>
      </c>
      <c r="C772" s="28">
        <v>0.1</v>
      </c>
      <c r="D772" s="22">
        <v>2000</v>
      </c>
      <c r="E772" s="26">
        <v>1.93</v>
      </c>
      <c r="F772" s="26">
        <v>938.2</v>
      </c>
      <c r="G772" s="27">
        <v>38.5</v>
      </c>
      <c r="H772" s="24">
        <f t="shared" si="81"/>
        <v>206.31318495173221</v>
      </c>
      <c r="I772" s="25">
        <f t="shared" si="82"/>
        <v>43.894734542333666</v>
      </c>
      <c r="J772" s="24">
        <f t="shared" si="83"/>
        <v>3.2112878042325328E-2</v>
      </c>
      <c r="K772" s="14">
        <v>0.24</v>
      </c>
      <c r="L772" s="27">
        <v>1.94</v>
      </c>
      <c r="M772" s="27">
        <v>1.68</v>
      </c>
      <c r="N772" s="4">
        <f t="shared" si="75"/>
        <v>1.1547619047619049</v>
      </c>
      <c r="O772" s="20">
        <f t="shared" si="76"/>
        <v>19.399999999999999</v>
      </c>
      <c r="P772">
        <f t="shared" ref="P772:P835" si="84">F772*M772*M772*9.8/G772</f>
        <v>674.03017309090922</v>
      </c>
    </row>
    <row r="773" spans="1:16">
      <c r="A773" s="27" t="s">
        <v>850</v>
      </c>
      <c r="B773" s="22" t="s">
        <v>859</v>
      </c>
      <c r="C773" s="28">
        <v>0.1</v>
      </c>
      <c r="D773" s="22">
        <v>1750</v>
      </c>
      <c r="E773" s="26">
        <v>1.93</v>
      </c>
      <c r="F773" s="26">
        <v>938.2</v>
      </c>
      <c r="G773" s="27">
        <v>38.5</v>
      </c>
      <c r="H773" s="24">
        <f t="shared" si="81"/>
        <v>180.52403683276572</v>
      </c>
      <c r="I773" s="25">
        <f t="shared" si="82"/>
        <v>33.606906133974206</v>
      </c>
      <c r="J773" s="24">
        <f t="shared" si="83"/>
        <v>3.2112878042325314E-2</v>
      </c>
      <c r="K773" s="14">
        <v>0.24</v>
      </c>
      <c r="L773" s="27">
        <v>1.96</v>
      </c>
      <c r="M773" s="27">
        <v>1.69</v>
      </c>
      <c r="N773" s="4">
        <f t="shared" si="75"/>
        <v>1.1597633136094674</v>
      </c>
      <c r="O773" s="20">
        <f t="shared" si="76"/>
        <v>19.599999999999998</v>
      </c>
      <c r="P773">
        <f t="shared" si="84"/>
        <v>682.07822327272731</v>
      </c>
    </row>
    <row r="774" spans="1:16">
      <c r="A774" s="27" t="s">
        <v>851</v>
      </c>
      <c r="B774" s="22" t="s">
        <v>859</v>
      </c>
      <c r="C774" s="28">
        <v>0.1</v>
      </c>
      <c r="D774" s="22">
        <v>1500</v>
      </c>
      <c r="E774" s="26">
        <v>1.93</v>
      </c>
      <c r="F774" s="26">
        <v>938.2</v>
      </c>
      <c r="G774" s="27">
        <v>38.5</v>
      </c>
      <c r="H774" s="24">
        <f t="shared" si="81"/>
        <v>154.73488871379917</v>
      </c>
      <c r="I774" s="25">
        <f t="shared" si="82"/>
        <v>24.690788180062679</v>
      </c>
      <c r="J774" s="24">
        <f t="shared" si="83"/>
        <v>3.2112878042325321E-2</v>
      </c>
      <c r="K774" s="14">
        <v>0.24</v>
      </c>
      <c r="L774" s="27">
        <v>1.94</v>
      </c>
      <c r="M774" s="27">
        <v>1.67</v>
      </c>
      <c r="N774" s="4">
        <f t="shared" si="75"/>
        <v>1.1616766467065869</v>
      </c>
      <c r="O774" s="20">
        <f t="shared" si="76"/>
        <v>19.399999999999999</v>
      </c>
      <c r="P774">
        <f t="shared" si="84"/>
        <v>666.02988581818192</v>
      </c>
    </row>
    <row r="775" spans="1:16">
      <c r="A775" s="27" t="s">
        <v>852</v>
      </c>
      <c r="B775" s="22" t="s">
        <v>859</v>
      </c>
      <c r="C775" s="28">
        <v>0.1</v>
      </c>
      <c r="D775" s="22">
        <v>1250</v>
      </c>
      <c r="E775" s="26">
        <v>1.93</v>
      </c>
      <c r="F775" s="26">
        <v>938.2</v>
      </c>
      <c r="G775" s="27">
        <v>38.5</v>
      </c>
      <c r="H775" s="24">
        <f t="shared" si="81"/>
        <v>128.94574059483264</v>
      </c>
      <c r="I775" s="25">
        <f t="shared" si="82"/>
        <v>17.146380680599083</v>
      </c>
      <c r="J775" s="24">
        <f t="shared" si="83"/>
        <v>3.2112878042325314E-2</v>
      </c>
      <c r="K775" s="14">
        <v>0.24</v>
      </c>
      <c r="L775" s="27">
        <v>1.92</v>
      </c>
      <c r="M775" s="27">
        <v>1.66</v>
      </c>
      <c r="N775" s="4">
        <f t="shared" si="75"/>
        <v>1.1566265060240963</v>
      </c>
      <c r="O775" s="20">
        <f t="shared" si="76"/>
        <v>19.2</v>
      </c>
      <c r="P775">
        <f t="shared" si="84"/>
        <v>658.07736145454555</v>
      </c>
    </row>
    <row r="776" spans="1:16">
      <c r="A776" s="27" t="s">
        <v>853</v>
      </c>
      <c r="B776" s="22" t="s">
        <v>859</v>
      </c>
      <c r="C776" s="28">
        <v>0.1</v>
      </c>
      <c r="D776" s="22">
        <v>1000</v>
      </c>
      <c r="E776" s="26">
        <v>1.93</v>
      </c>
      <c r="F776" s="26">
        <v>938.2</v>
      </c>
      <c r="G776" s="27">
        <v>38.5</v>
      </c>
      <c r="H776" s="24">
        <f t="shared" si="81"/>
        <v>103.15659247586611</v>
      </c>
      <c r="I776" s="25">
        <f t="shared" si="82"/>
        <v>10.973683635583416</v>
      </c>
      <c r="J776" s="24">
        <f t="shared" si="83"/>
        <v>3.2112878042325328E-2</v>
      </c>
      <c r="K776" s="14">
        <v>0.24</v>
      </c>
      <c r="L776" s="27">
        <v>1.91</v>
      </c>
      <c r="M776" s="27">
        <v>1.65</v>
      </c>
      <c r="N776" s="4">
        <f t="shared" si="75"/>
        <v>1.1575757575757575</v>
      </c>
      <c r="O776" s="20">
        <f t="shared" si="76"/>
        <v>19.099999999999998</v>
      </c>
      <c r="P776">
        <f t="shared" si="84"/>
        <v>650.17259999999999</v>
      </c>
    </row>
    <row r="777" spans="1:16">
      <c r="A777" s="27" t="s">
        <v>854</v>
      </c>
      <c r="B777" s="22" t="s">
        <v>859</v>
      </c>
      <c r="C777" s="28">
        <v>0.1</v>
      </c>
      <c r="D777" s="22">
        <v>750</v>
      </c>
      <c r="E777" s="26">
        <v>1.93</v>
      </c>
      <c r="F777" s="26">
        <v>938.2</v>
      </c>
      <c r="G777" s="27">
        <v>38.5</v>
      </c>
      <c r="H777" s="24">
        <f t="shared" si="81"/>
        <v>77.367444356899583</v>
      </c>
      <c r="I777" s="25">
        <f t="shared" si="82"/>
        <v>6.1726970450156697</v>
      </c>
      <c r="J777" s="24">
        <f t="shared" si="83"/>
        <v>3.2112878042325321E-2</v>
      </c>
      <c r="K777" s="14">
        <v>0.24</v>
      </c>
      <c r="L777" s="27">
        <v>1.92</v>
      </c>
      <c r="M777" s="27">
        <v>1.65</v>
      </c>
      <c r="N777" s="4">
        <f t="shared" si="75"/>
        <v>1.1636363636363636</v>
      </c>
      <c r="O777" s="20">
        <f t="shared" si="76"/>
        <v>19.2</v>
      </c>
      <c r="P777">
        <f t="shared" si="84"/>
        <v>650.17259999999999</v>
      </c>
    </row>
    <row r="778" spans="1:16">
      <c r="A778" s="27" t="s">
        <v>855</v>
      </c>
      <c r="B778" s="22" t="s">
        <v>859</v>
      </c>
      <c r="C778" s="28">
        <v>0.1</v>
      </c>
      <c r="D778" s="22">
        <v>500</v>
      </c>
      <c r="E778" s="26">
        <v>1.93</v>
      </c>
      <c r="F778" s="26">
        <v>938.2</v>
      </c>
      <c r="G778" s="27">
        <v>38.5</v>
      </c>
      <c r="H778" s="24">
        <f t="shared" si="81"/>
        <v>51.578296237933053</v>
      </c>
      <c r="I778" s="25">
        <f t="shared" si="82"/>
        <v>2.7434209088958541</v>
      </c>
      <c r="J778" s="24">
        <f t="shared" si="83"/>
        <v>3.2112878042325328E-2</v>
      </c>
      <c r="K778" s="14">
        <v>0.24</v>
      </c>
      <c r="L778" s="27">
        <v>1.92</v>
      </c>
      <c r="M778" s="27">
        <v>1.66</v>
      </c>
      <c r="N778" s="4">
        <f t="shared" si="75"/>
        <v>1.1566265060240963</v>
      </c>
      <c r="O778" s="20">
        <f t="shared" si="76"/>
        <v>19.2</v>
      </c>
      <c r="P778">
        <f t="shared" si="84"/>
        <v>658.07736145454555</v>
      </c>
    </row>
    <row r="779" spans="1:16">
      <c r="A779" s="27" t="s">
        <v>856</v>
      </c>
      <c r="B779" s="22" t="s">
        <v>859</v>
      </c>
      <c r="C779" s="28">
        <v>0.1</v>
      </c>
      <c r="D779" s="22">
        <v>250</v>
      </c>
      <c r="E779" s="26">
        <v>1.93</v>
      </c>
      <c r="F779" s="26">
        <v>938.2</v>
      </c>
      <c r="G779" s="27">
        <v>38.5</v>
      </c>
      <c r="H779" s="24">
        <f t="shared" si="81"/>
        <v>25.789148118966526</v>
      </c>
      <c r="I779" s="25">
        <f t="shared" si="82"/>
        <v>0.68585522722396353</v>
      </c>
      <c r="J779" s="24">
        <f t="shared" si="83"/>
        <v>3.2112878042325328E-2</v>
      </c>
      <c r="K779" s="14">
        <v>0.24</v>
      </c>
      <c r="L779" s="27">
        <v>1.92</v>
      </c>
      <c r="M779" s="27">
        <v>1.66</v>
      </c>
      <c r="N779" s="4">
        <f t="shared" si="75"/>
        <v>1.1566265060240963</v>
      </c>
      <c r="O779" s="20">
        <f t="shared" si="76"/>
        <v>19.2</v>
      </c>
      <c r="P779">
        <f t="shared" si="84"/>
        <v>658.07736145454555</v>
      </c>
    </row>
    <row r="780" spans="1:16">
      <c r="A780" s="27" t="s">
        <v>857</v>
      </c>
      <c r="B780" s="22" t="s">
        <v>859</v>
      </c>
      <c r="C780" s="28">
        <v>0.1</v>
      </c>
      <c r="D780" s="22">
        <v>100</v>
      </c>
      <c r="E780" s="26">
        <v>1.93</v>
      </c>
      <c r="F780" s="26">
        <v>938.2</v>
      </c>
      <c r="G780" s="27">
        <v>38.5</v>
      </c>
      <c r="H780" s="24">
        <f t="shared" si="81"/>
        <v>10.315659247586613</v>
      </c>
      <c r="I780" s="25">
        <f t="shared" si="82"/>
        <v>0.10973683635583414</v>
      </c>
      <c r="J780" s="24">
        <f t="shared" si="83"/>
        <v>3.2112878042325314E-2</v>
      </c>
      <c r="K780" s="14">
        <v>0.24</v>
      </c>
      <c r="L780" s="27">
        <v>1.86</v>
      </c>
      <c r="M780" s="27">
        <v>1.61</v>
      </c>
      <c r="N780" s="4">
        <f t="shared" si="75"/>
        <v>1.15527950310559</v>
      </c>
      <c r="O780" s="20">
        <f t="shared" si="76"/>
        <v>18.600000000000001</v>
      </c>
      <c r="P780">
        <f t="shared" si="84"/>
        <v>619.03118327272739</v>
      </c>
    </row>
    <row r="781" spans="1:16">
      <c r="A781" s="27" t="s">
        <v>861</v>
      </c>
      <c r="B781" t="s">
        <v>870</v>
      </c>
      <c r="C781" s="14">
        <v>0.25</v>
      </c>
      <c r="D781" s="22">
        <v>2000</v>
      </c>
      <c r="E781" s="30">
        <v>996.4</v>
      </c>
      <c r="F781" s="26">
        <v>970</v>
      </c>
      <c r="G781" s="27">
        <v>21.2</v>
      </c>
      <c r="H781" s="24">
        <f t="shared" si="81"/>
        <v>0.16526727664834848</v>
      </c>
      <c r="I781" s="25">
        <f t="shared" si="82"/>
        <v>5.2746491241227105</v>
      </c>
      <c r="J781" s="24">
        <f t="shared" si="83"/>
        <v>13.896643516724744</v>
      </c>
      <c r="K781" s="14">
        <v>0.51</v>
      </c>
      <c r="L781" s="27">
        <v>9.58</v>
      </c>
      <c r="M781" s="27">
        <v>1.6</v>
      </c>
      <c r="N781" s="4">
        <f t="shared" si="75"/>
        <v>5.9874999999999998</v>
      </c>
      <c r="O781" s="20">
        <f t="shared" si="76"/>
        <v>38.32</v>
      </c>
      <c r="P781">
        <f t="shared" si="84"/>
        <v>1147.8943396226418</v>
      </c>
    </row>
    <row r="782" spans="1:16">
      <c r="A782" s="27" t="s">
        <v>862</v>
      </c>
      <c r="B782" t="s">
        <v>870</v>
      </c>
      <c r="C782" s="14">
        <v>0.25</v>
      </c>
      <c r="D782" s="22">
        <v>1750</v>
      </c>
      <c r="E782" s="30">
        <v>996.4</v>
      </c>
      <c r="F782" s="26">
        <v>970</v>
      </c>
      <c r="G782" s="27">
        <v>21.2</v>
      </c>
      <c r="H782" s="24">
        <f t="shared" si="81"/>
        <v>0.14460886706730491</v>
      </c>
      <c r="I782" s="25">
        <f t="shared" si="82"/>
        <v>4.0384032356564488</v>
      </c>
      <c r="J782" s="24">
        <f t="shared" si="83"/>
        <v>13.89664351672474</v>
      </c>
      <c r="K782" s="14">
        <v>0.51</v>
      </c>
      <c r="L782" s="27">
        <v>9.86</v>
      </c>
      <c r="M782" s="27">
        <v>1.61</v>
      </c>
      <c r="N782" s="4">
        <f t="shared" si="75"/>
        <v>6.124223602484471</v>
      </c>
      <c r="O782" s="20">
        <f t="shared" si="76"/>
        <v>39.44</v>
      </c>
      <c r="P782">
        <f t="shared" si="84"/>
        <v>1162.2878584905664</v>
      </c>
    </row>
    <row r="783" spans="1:16">
      <c r="A783" s="27" t="s">
        <v>863</v>
      </c>
      <c r="B783" t="s">
        <v>869</v>
      </c>
      <c r="C783" s="14">
        <v>0.25</v>
      </c>
      <c r="D783" s="22">
        <v>1500</v>
      </c>
      <c r="E783" s="30">
        <v>996.4</v>
      </c>
      <c r="F783" s="26">
        <v>970</v>
      </c>
      <c r="G783" s="27">
        <v>21.2</v>
      </c>
      <c r="H783" s="24">
        <f t="shared" si="81"/>
        <v>0.12395045748626134</v>
      </c>
      <c r="I783" s="25">
        <f t="shared" si="82"/>
        <v>2.9669901323190233</v>
      </c>
      <c r="J783" s="24">
        <f t="shared" si="83"/>
        <v>13.896643516724742</v>
      </c>
      <c r="K783" s="14">
        <v>0.51</v>
      </c>
      <c r="L783" s="27">
        <v>10.52</v>
      </c>
      <c r="M783" s="27">
        <v>1.57</v>
      </c>
      <c r="N783" s="4">
        <f t="shared" si="75"/>
        <v>6.7006369426751586</v>
      </c>
      <c r="O783" s="20">
        <f t="shared" si="76"/>
        <v>42.08</v>
      </c>
      <c r="P783">
        <f t="shared" si="84"/>
        <v>1105.2518584905663</v>
      </c>
    </row>
    <row r="784" spans="1:16">
      <c r="A784" s="27" t="s">
        <v>864</v>
      </c>
      <c r="B784" t="s">
        <v>869</v>
      </c>
      <c r="C784" s="14">
        <v>0.25</v>
      </c>
      <c r="D784" s="22">
        <v>1250</v>
      </c>
      <c r="E784" s="30">
        <v>996.4</v>
      </c>
      <c r="F784" s="26">
        <v>970</v>
      </c>
      <c r="G784" s="27">
        <v>21.2</v>
      </c>
      <c r="H784" s="24">
        <f t="shared" si="81"/>
        <v>0.1032920479052178</v>
      </c>
      <c r="I784" s="25">
        <f t="shared" si="82"/>
        <v>2.0604098141104328</v>
      </c>
      <c r="J784" s="24">
        <f t="shared" si="83"/>
        <v>13.896643516724739</v>
      </c>
      <c r="K784" s="14">
        <v>0.51</v>
      </c>
      <c r="L784" s="27">
        <v>10.15</v>
      </c>
      <c r="M784" s="27">
        <v>1.59</v>
      </c>
      <c r="N784" s="4">
        <f t="shared" si="75"/>
        <v>6.3836477987421381</v>
      </c>
      <c r="O784" s="20">
        <f t="shared" si="76"/>
        <v>40.6</v>
      </c>
      <c r="P784">
        <f t="shared" si="84"/>
        <v>1133.5905000000002</v>
      </c>
    </row>
    <row r="785" spans="1:16">
      <c r="A785" s="27" t="s">
        <v>865</v>
      </c>
      <c r="B785" t="s">
        <v>869</v>
      </c>
      <c r="C785" s="14">
        <v>0.25</v>
      </c>
      <c r="D785" s="22">
        <v>1000</v>
      </c>
      <c r="E785" s="30">
        <v>996.4</v>
      </c>
      <c r="F785" s="26">
        <v>970</v>
      </c>
      <c r="G785" s="27">
        <v>21.2</v>
      </c>
      <c r="H785" s="24">
        <f t="shared" si="81"/>
        <v>8.2633638324174238E-2</v>
      </c>
      <c r="I785" s="25">
        <f t="shared" si="82"/>
        <v>1.3186622810306776</v>
      </c>
      <c r="J785" s="24">
        <f t="shared" si="83"/>
        <v>13.896643516724744</v>
      </c>
      <c r="K785" s="14">
        <v>0.51</v>
      </c>
      <c r="L785" s="27">
        <v>10.25</v>
      </c>
      <c r="M785" s="27">
        <v>1.59</v>
      </c>
      <c r="N785" s="4">
        <f t="shared" si="75"/>
        <v>6.4465408805031439</v>
      </c>
      <c r="O785" s="20">
        <f t="shared" si="76"/>
        <v>41</v>
      </c>
      <c r="P785">
        <f t="shared" si="84"/>
        <v>1133.5905000000002</v>
      </c>
    </row>
    <row r="786" spans="1:16">
      <c r="A786" s="27" t="s">
        <v>866</v>
      </c>
      <c r="B786" t="s">
        <v>869</v>
      </c>
      <c r="C786" s="14">
        <v>0.25</v>
      </c>
      <c r="D786" s="22">
        <v>750</v>
      </c>
      <c r="E786" s="30">
        <v>996.4</v>
      </c>
      <c r="F786" s="26">
        <v>970</v>
      </c>
      <c r="G786" s="27">
        <v>21.2</v>
      </c>
      <c r="H786" s="24">
        <f t="shared" ref="H786:H842" si="85">(4/60*F786*D786*10^(-9))/(PI()*C786*E786*10^(-6))</f>
        <v>6.1975228743130668E-2</v>
      </c>
      <c r="I786" s="25">
        <f t="shared" si="82"/>
        <v>0.74174753307975583</v>
      </c>
      <c r="J786" s="24">
        <f t="shared" si="83"/>
        <v>13.896643516724742</v>
      </c>
      <c r="K786" s="14">
        <v>0.51</v>
      </c>
      <c r="L786" s="27">
        <v>9.8800000000000008</v>
      </c>
      <c r="M786" s="27">
        <v>1.62</v>
      </c>
      <c r="N786" s="4">
        <f t="shared" si="75"/>
        <v>6.0987654320987659</v>
      </c>
      <c r="O786" s="20">
        <f t="shared" si="76"/>
        <v>39.520000000000003</v>
      </c>
      <c r="P786">
        <f t="shared" si="84"/>
        <v>1176.7710566037738</v>
      </c>
    </row>
    <row r="787" spans="1:16">
      <c r="A787" s="27" t="s">
        <v>867</v>
      </c>
      <c r="B787" t="s">
        <v>869</v>
      </c>
      <c r="C787" s="14">
        <v>0.25</v>
      </c>
      <c r="D787" s="22">
        <v>500</v>
      </c>
      <c r="E787" s="30">
        <v>996.4</v>
      </c>
      <c r="F787" s="26">
        <v>970</v>
      </c>
      <c r="G787" s="27">
        <v>21.2</v>
      </c>
      <c r="H787" s="24">
        <f t="shared" si="85"/>
        <v>4.1316819162087119E-2</v>
      </c>
      <c r="I787" s="25">
        <f t="shared" si="82"/>
        <v>0.3296655702576694</v>
      </c>
      <c r="J787" s="24">
        <f t="shared" si="83"/>
        <v>13.896643516724744</v>
      </c>
      <c r="K787" s="14">
        <v>0.51</v>
      </c>
      <c r="L787" s="27">
        <v>9.5399999999999991</v>
      </c>
      <c r="M787" s="27">
        <v>1.62</v>
      </c>
      <c r="N787" s="4">
        <f t="shared" si="75"/>
        <v>5.8888888888888884</v>
      </c>
      <c r="O787" s="20">
        <f t="shared" si="76"/>
        <v>38.159999999999997</v>
      </c>
      <c r="P787">
        <f t="shared" si="84"/>
        <v>1176.7710566037738</v>
      </c>
    </row>
    <row r="788" spans="1:16">
      <c r="A788" s="27" t="s">
        <v>868</v>
      </c>
      <c r="B788" t="s">
        <v>869</v>
      </c>
      <c r="C788" s="14">
        <v>0.25</v>
      </c>
      <c r="D788" s="22">
        <v>250</v>
      </c>
      <c r="E788" s="30">
        <v>996.4</v>
      </c>
      <c r="F788" s="26">
        <v>970</v>
      </c>
      <c r="G788" s="27">
        <v>21.2</v>
      </c>
      <c r="H788" s="24">
        <f t="shared" si="85"/>
        <v>2.065840958104356E-2</v>
      </c>
      <c r="I788" s="25">
        <f t="shared" si="82"/>
        <v>8.2416392564417351E-2</v>
      </c>
      <c r="J788" s="24">
        <f t="shared" si="83"/>
        <v>13.896643516724744</v>
      </c>
      <c r="K788" s="14">
        <v>0.51</v>
      </c>
      <c r="L788" s="27">
        <v>9.1999999999999993</v>
      </c>
      <c r="M788" s="27">
        <v>1.61</v>
      </c>
      <c r="N788" s="4">
        <f t="shared" si="75"/>
        <v>5.7142857142857135</v>
      </c>
      <c r="O788" s="20">
        <f t="shared" si="76"/>
        <v>36.799999999999997</v>
      </c>
      <c r="P788">
        <f t="shared" si="84"/>
        <v>1162.2878584905664</v>
      </c>
    </row>
    <row r="789" spans="1:16">
      <c r="A789" s="27" t="s">
        <v>871</v>
      </c>
      <c r="B789" s="40" t="s">
        <v>510</v>
      </c>
      <c r="C789" s="23">
        <v>2.38</v>
      </c>
      <c r="D789" s="22">
        <v>2000</v>
      </c>
      <c r="E789" s="26">
        <v>1.2</v>
      </c>
      <c r="F789" s="26">
        <v>789</v>
      </c>
      <c r="G789" s="27">
        <v>22.2</v>
      </c>
      <c r="H789" s="24">
        <f t="shared" si="85"/>
        <v>11.724859953268481</v>
      </c>
      <c r="I789" s="25">
        <f t="shared" si="82"/>
        <v>4.7486579207145843E-3</v>
      </c>
      <c r="J789" s="24">
        <f t="shared" si="83"/>
        <v>5.8772989085407483E-3</v>
      </c>
      <c r="K789" s="14">
        <v>2.8</v>
      </c>
      <c r="L789" s="27">
        <v>9.3699999999999992</v>
      </c>
      <c r="M789" s="27">
        <v>2.89</v>
      </c>
      <c r="N789" s="4">
        <f t="shared" si="75"/>
        <v>3.242214532871972</v>
      </c>
      <c r="O789" s="20">
        <f t="shared" si="76"/>
        <v>3.9369747899159662</v>
      </c>
      <c r="P789">
        <f t="shared" si="84"/>
        <v>2909.0138567567574</v>
      </c>
    </row>
    <row r="790" spans="1:16">
      <c r="A790" s="27" t="s">
        <v>872</v>
      </c>
      <c r="B790" s="40" t="s">
        <v>510</v>
      </c>
      <c r="C790" s="23">
        <v>2.38</v>
      </c>
      <c r="D790" s="22">
        <v>1750</v>
      </c>
      <c r="E790" s="26">
        <v>1.2</v>
      </c>
      <c r="F790" s="26">
        <v>789</v>
      </c>
      <c r="G790" s="27">
        <v>22.2</v>
      </c>
      <c r="H790" s="24">
        <f t="shared" si="85"/>
        <v>10.25925245910992</v>
      </c>
      <c r="I790" s="25">
        <f t="shared" si="82"/>
        <v>3.6356912205471031E-3</v>
      </c>
      <c r="J790" s="24">
        <f t="shared" si="83"/>
        <v>5.8772989085407483E-3</v>
      </c>
      <c r="K790" s="14">
        <v>2.8</v>
      </c>
      <c r="L790" s="27">
        <v>9.3699999999999992</v>
      </c>
      <c r="M790" s="27">
        <v>2.88</v>
      </c>
      <c r="N790" s="4">
        <f t="shared" si="75"/>
        <v>3.2534722222222219</v>
      </c>
      <c r="O790" s="20">
        <f t="shared" si="76"/>
        <v>3.9369747899159662</v>
      </c>
      <c r="P790">
        <f t="shared" si="84"/>
        <v>2888.9171027027028</v>
      </c>
    </row>
    <row r="791" spans="1:16">
      <c r="A791" s="27" t="s">
        <v>873</v>
      </c>
      <c r="B791" s="40" t="s">
        <v>510</v>
      </c>
      <c r="C791" s="23">
        <v>2.38</v>
      </c>
      <c r="D791" s="22">
        <v>1500</v>
      </c>
      <c r="E791" s="26">
        <v>1.2</v>
      </c>
      <c r="F791" s="26">
        <v>789</v>
      </c>
      <c r="G791" s="27">
        <v>22.2</v>
      </c>
      <c r="H791" s="24">
        <f t="shared" si="85"/>
        <v>8.7936449649513619</v>
      </c>
      <c r="I791" s="25">
        <f t="shared" si="82"/>
        <v>2.6711200804019532E-3</v>
      </c>
      <c r="J791" s="24">
        <f t="shared" si="83"/>
        <v>5.8772989085407465E-3</v>
      </c>
      <c r="K791" s="14">
        <v>2.8</v>
      </c>
      <c r="L791" s="27">
        <v>9.4</v>
      </c>
      <c r="M791" s="27">
        <v>2.9</v>
      </c>
      <c r="N791" s="4">
        <f t="shared" si="75"/>
        <v>3.2413793103448278</v>
      </c>
      <c r="O791" s="20">
        <f t="shared" si="76"/>
        <v>3.9495798319327733</v>
      </c>
      <c r="P791">
        <f t="shared" si="84"/>
        <v>2929.1802702702707</v>
      </c>
    </row>
    <row r="792" spans="1:16">
      <c r="A792" s="27" t="s">
        <v>874</v>
      </c>
      <c r="B792" s="40" t="s">
        <v>510</v>
      </c>
      <c r="C792" s="23">
        <v>2.38</v>
      </c>
      <c r="D792" s="22">
        <v>1250</v>
      </c>
      <c r="E792" s="26">
        <v>1.2</v>
      </c>
      <c r="F792" s="26">
        <v>789</v>
      </c>
      <c r="G792" s="27">
        <v>22.2</v>
      </c>
      <c r="H792" s="24">
        <f t="shared" si="85"/>
        <v>7.3280374707928004</v>
      </c>
      <c r="I792" s="25">
        <f t="shared" si="82"/>
        <v>1.854944500279134E-3</v>
      </c>
      <c r="J792" s="24">
        <f t="shared" si="83"/>
        <v>5.8772989085407474E-3</v>
      </c>
      <c r="K792" s="14">
        <v>2.8</v>
      </c>
      <c r="L792" s="27">
        <v>9.26</v>
      </c>
      <c r="M792" s="27">
        <v>2.89</v>
      </c>
      <c r="N792" s="4">
        <f t="shared" si="75"/>
        <v>3.2041522491349479</v>
      </c>
      <c r="O792" s="20">
        <f t="shared" si="76"/>
        <v>3.8907563025210083</v>
      </c>
      <c r="P792">
        <f t="shared" si="84"/>
        <v>2909.0138567567574</v>
      </c>
    </row>
    <row r="793" spans="1:16">
      <c r="A793" s="27" t="s">
        <v>875</v>
      </c>
      <c r="B793" s="40" t="s">
        <v>510</v>
      </c>
      <c r="C793" s="23">
        <v>2.38</v>
      </c>
      <c r="D793" s="22">
        <v>1000</v>
      </c>
      <c r="E793" s="26">
        <v>1.2</v>
      </c>
      <c r="F793" s="26">
        <v>789</v>
      </c>
      <c r="G793" s="27">
        <v>22.2</v>
      </c>
      <c r="H793" s="24">
        <f t="shared" si="85"/>
        <v>5.8624299766342407</v>
      </c>
      <c r="I793" s="25">
        <f t="shared" si="82"/>
        <v>1.1871644801786461E-3</v>
      </c>
      <c r="J793" s="24">
        <f t="shared" si="83"/>
        <v>5.8772989085407483E-3</v>
      </c>
      <c r="K793" s="14">
        <v>2.8</v>
      </c>
      <c r="L793" s="27">
        <v>9.17</v>
      </c>
      <c r="M793" s="27">
        <v>2.88</v>
      </c>
      <c r="N793" s="4">
        <f t="shared" si="75"/>
        <v>3.1840277777777777</v>
      </c>
      <c r="O793" s="20">
        <f t="shared" si="76"/>
        <v>3.8529411764705883</v>
      </c>
      <c r="P793">
        <f t="shared" si="84"/>
        <v>2888.9171027027028</v>
      </c>
    </row>
    <row r="794" spans="1:16">
      <c r="A794" s="27" t="s">
        <v>876</v>
      </c>
      <c r="B794" s="40" t="s">
        <v>510</v>
      </c>
      <c r="C794" s="23">
        <v>2.38</v>
      </c>
      <c r="D794" s="22">
        <v>750</v>
      </c>
      <c r="E794" s="26">
        <v>1.2</v>
      </c>
      <c r="F794" s="26">
        <v>789</v>
      </c>
      <c r="G794" s="27">
        <v>22.2</v>
      </c>
      <c r="H794" s="24">
        <f t="shared" si="85"/>
        <v>4.396822482475681</v>
      </c>
      <c r="I794" s="25">
        <f t="shared" si="82"/>
        <v>6.6778002010048831E-4</v>
      </c>
      <c r="J794" s="24">
        <f t="shared" si="83"/>
        <v>5.8772989085407465E-3</v>
      </c>
      <c r="K794" s="14">
        <v>2.8</v>
      </c>
      <c r="L794" s="27">
        <v>9.07</v>
      </c>
      <c r="M794" s="27">
        <v>2.87</v>
      </c>
      <c r="N794" s="4">
        <f t="shared" si="75"/>
        <v>3.1602787456445993</v>
      </c>
      <c r="O794" s="20">
        <f t="shared" si="76"/>
        <v>3.8109243697478994</v>
      </c>
      <c r="P794">
        <f t="shared" si="84"/>
        <v>2868.8900081081088</v>
      </c>
    </row>
    <row r="795" spans="1:16">
      <c r="A795" s="27" t="s">
        <v>877</v>
      </c>
      <c r="B795" s="40" t="s">
        <v>510</v>
      </c>
      <c r="C795" s="23">
        <v>2.38</v>
      </c>
      <c r="D795" s="22">
        <v>500</v>
      </c>
      <c r="E795" s="26">
        <v>1.2</v>
      </c>
      <c r="F795" s="26">
        <v>789</v>
      </c>
      <c r="G795" s="27">
        <v>22.2</v>
      </c>
      <c r="H795" s="24">
        <f t="shared" si="85"/>
        <v>2.9312149883171204</v>
      </c>
      <c r="I795" s="25">
        <f t="shared" si="82"/>
        <v>2.9679112004466152E-4</v>
      </c>
      <c r="J795" s="24">
        <f t="shared" si="83"/>
        <v>5.8772989085407483E-3</v>
      </c>
      <c r="K795" s="14">
        <v>2.8</v>
      </c>
      <c r="L795" s="27">
        <v>8.9</v>
      </c>
      <c r="M795" s="27">
        <v>2.86</v>
      </c>
      <c r="N795" s="4">
        <f t="shared" si="75"/>
        <v>3.1118881118881121</v>
      </c>
      <c r="O795" s="20">
        <f t="shared" si="76"/>
        <v>3.7394957983193282</v>
      </c>
      <c r="P795">
        <f t="shared" si="84"/>
        <v>2848.932572972973</v>
      </c>
    </row>
    <row r="796" spans="1:16">
      <c r="A796" s="27" t="s">
        <v>878</v>
      </c>
      <c r="B796" s="40" t="s">
        <v>510</v>
      </c>
      <c r="C796" s="23">
        <v>2.38</v>
      </c>
      <c r="D796" s="22">
        <v>250</v>
      </c>
      <c r="E796" s="26">
        <v>1.2</v>
      </c>
      <c r="F796" s="26">
        <v>789</v>
      </c>
      <c r="G796" s="27">
        <v>22.2</v>
      </c>
      <c r="H796" s="24">
        <f t="shared" si="85"/>
        <v>1.4656074941585602</v>
      </c>
      <c r="I796" s="25">
        <f t="shared" si="82"/>
        <v>7.419778001116538E-5</v>
      </c>
      <c r="J796" s="24">
        <f t="shared" si="83"/>
        <v>5.8772989085407483E-3</v>
      </c>
      <c r="K796" s="14">
        <v>2.8</v>
      </c>
      <c r="L796" s="27">
        <v>8.7799999999999994</v>
      </c>
      <c r="M796" s="27">
        <v>2.86</v>
      </c>
      <c r="N796" s="4">
        <f t="shared" si="75"/>
        <v>3.06993006993007</v>
      </c>
      <c r="O796" s="20">
        <f t="shared" si="76"/>
        <v>3.6890756302521006</v>
      </c>
      <c r="P796">
        <f t="shared" si="84"/>
        <v>2848.932572972973</v>
      </c>
    </row>
    <row r="797" spans="1:16">
      <c r="A797" s="27" t="s">
        <v>879</v>
      </c>
      <c r="B797" s="40" t="s">
        <v>510</v>
      </c>
      <c r="C797" s="23">
        <v>2.38</v>
      </c>
      <c r="D797" s="22">
        <v>100</v>
      </c>
      <c r="E797" s="26">
        <v>1.2</v>
      </c>
      <c r="F797" s="26">
        <v>789</v>
      </c>
      <c r="G797" s="27">
        <v>22.2</v>
      </c>
      <c r="H797" s="24">
        <f t="shared" si="85"/>
        <v>0.58624299766342403</v>
      </c>
      <c r="I797" s="25">
        <f t="shared" si="82"/>
        <v>1.187164480178646E-5</v>
      </c>
      <c r="J797" s="24">
        <f t="shared" si="83"/>
        <v>5.8772989085407483E-3</v>
      </c>
      <c r="K797" s="14">
        <v>2.8</v>
      </c>
      <c r="L797" s="27">
        <v>8.73</v>
      </c>
      <c r="M797" s="27">
        <v>2.86</v>
      </c>
      <c r="N797" s="4">
        <f t="shared" si="75"/>
        <v>3.0524475524475529</v>
      </c>
      <c r="O797" s="20">
        <f t="shared" si="76"/>
        <v>3.6680672268907566</v>
      </c>
      <c r="P797">
        <f t="shared" si="84"/>
        <v>2848.932572972973</v>
      </c>
    </row>
    <row r="798" spans="1:16">
      <c r="A798" s="27" t="s">
        <v>880</v>
      </c>
      <c r="B798" s="40" t="s">
        <v>510</v>
      </c>
      <c r="C798" s="23">
        <v>1.79</v>
      </c>
      <c r="D798" s="22">
        <v>2000</v>
      </c>
      <c r="E798" s="26">
        <v>1.2</v>
      </c>
      <c r="F798" s="26">
        <v>789</v>
      </c>
      <c r="G798" s="27">
        <v>22.2</v>
      </c>
      <c r="H798" s="24">
        <f t="shared" si="85"/>
        <v>15.589478597083231</v>
      </c>
      <c r="I798" s="25">
        <f t="shared" si="82"/>
        <v>1.1162016589447933E-2</v>
      </c>
      <c r="J798" s="24">
        <f t="shared" si="83"/>
        <v>6.7770352054796314E-3</v>
      </c>
      <c r="K798" s="14">
        <v>2.4</v>
      </c>
      <c r="L798" s="27">
        <v>8.17</v>
      </c>
      <c r="M798" s="27">
        <v>2.74</v>
      </c>
      <c r="N798" s="4">
        <f t="shared" si="75"/>
        <v>2.9817518248175179</v>
      </c>
      <c r="O798" s="20">
        <f t="shared" si="76"/>
        <v>4.5642458100558656</v>
      </c>
      <c r="P798">
        <f t="shared" si="84"/>
        <v>2614.8767891891898</v>
      </c>
    </row>
    <row r="799" spans="1:16">
      <c r="A799" s="27" t="s">
        <v>881</v>
      </c>
      <c r="B799" s="40" t="s">
        <v>510</v>
      </c>
      <c r="C799" s="23">
        <v>1.79</v>
      </c>
      <c r="D799" s="22">
        <v>1750</v>
      </c>
      <c r="E799" s="26">
        <v>1.2</v>
      </c>
      <c r="F799" s="26">
        <v>789</v>
      </c>
      <c r="G799" s="27">
        <v>22.2</v>
      </c>
      <c r="H799" s="24">
        <f t="shared" si="85"/>
        <v>13.640793772447827</v>
      </c>
      <c r="I799" s="25">
        <f t="shared" si="82"/>
        <v>8.5459189512960727E-3</v>
      </c>
      <c r="J799" s="24">
        <f t="shared" si="83"/>
        <v>6.7770352054796305E-3</v>
      </c>
      <c r="K799" s="14">
        <v>2.4</v>
      </c>
      <c r="L799" s="27">
        <v>8.14</v>
      </c>
      <c r="M799" s="27">
        <v>2.73</v>
      </c>
      <c r="N799" s="4">
        <f t="shared" si="75"/>
        <v>2.9816849816849818</v>
      </c>
      <c r="O799" s="20">
        <f t="shared" si="76"/>
        <v>4.5474860335195535</v>
      </c>
      <c r="P799">
        <f t="shared" si="84"/>
        <v>2595.8249270270267</v>
      </c>
    </row>
    <row r="800" spans="1:16">
      <c r="A800" s="27" t="s">
        <v>882</v>
      </c>
      <c r="B800" s="40" t="s">
        <v>510</v>
      </c>
      <c r="C800" s="23">
        <v>1.79</v>
      </c>
      <c r="D800" s="22">
        <v>1500</v>
      </c>
      <c r="E800" s="26">
        <v>1.2</v>
      </c>
      <c r="F800" s="26">
        <v>789</v>
      </c>
      <c r="G800" s="27">
        <v>22.2</v>
      </c>
      <c r="H800" s="24">
        <f t="shared" si="85"/>
        <v>11.692108947812423</v>
      </c>
      <c r="I800" s="25">
        <f t="shared" si="82"/>
        <v>6.2786343315644607E-3</v>
      </c>
      <c r="J800" s="24">
        <f t="shared" si="83"/>
        <v>6.7770352054796305E-3</v>
      </c>
      <c r="K800" s="14">
        <v>2.4</v>
      </c>
      <c r="L800" s="27">
        <v>8.0299999999999994</v>
      </c>
      <c r="M800" s="27">
        <v>2.74</v>
      </c>
      <c r="N800" s="4">
        <f t="shared" si="75"/>
        <v>2.9306569343065689</v>
      </c>
      <c r="O800" s="20">
        <f t="shared" si="76"/>
        <v>4.4860335195530725</v>
      </c>
      <c r="P800">
        <f t="shared" si="84"/>
        <v>2614.8767891891898</v>
      </c>
    </row>
    <row r="801" spans="1:16">
      <c r="A801" s="27" t="s">
        <v>883</v>
      </c>
      <c r="B801" s="40" t="s">
        <v>510</v>
      </c>
      <c r="C801" s="23">
        <v>1.79</v>
      </c>
      <c r="D801" s="22">
        <v>1250</v>
      </c>
      <c r="E801" s="26">
        <v>1.2</v>
      </c>
      <c r="F801" s="26">
        <v>789</v>
      </c>
      <c r="G801" s="27">
        <v>22.2</v>
      </c>
      <c r="H801" s="24">
        <f t="shared" si="85"/>
        <v>9.743424123177018</v>
      </c>
      <c r="I801" s="25">
        <f t="shared" si="82"/>
        <v>4.3601627302530975E-3</v>
      </c>
      <c r="J801" s="24">
        <f t="shared" si="83"/>
        <v>6.7770352054796305E-3</v>
      </c>
      <c r="K801" s="14">
        <v>2.4</v>
      </c>
      <c r="L801" s="27">
        <v>7.91</v>
      </c>
      <c r="M801" s="27">
        <v>2.73</v>
      </c>
      <c r="N801" s="4">
        <f t="shared" si="75"/>
        <v>2.8974358974358974</v>
      </c>
      <c r="O801" s="20">
        <f t="shared" si="76"/>
        <v>4.4189944134078214</v>
      </c>
      <c r="P801">
        <f t="shared" si="84"/>
        <v>2595.8249270270267</v>
      </c>
    </row>
    <row r="802" spans="1:16">
      <c r="A802" s="27" t="s">
        <v>884</v>
      </c>
      <c r="B802" s="40" t="s">
        <v>510</v>
      </c>
      <c r="C802" s="23">
        <v>1.79</v>
      </c>
      <c r="D802" s="22">
        <v>1000</v>
      </c>
      <c r="E802" s="26">
        <v>1.2</v>
      </c>
      <c r="F802" s="26">
        <v>789</v>
      </c>
      <c r="G802" s="27">
        <v>22.2</v>
      </c>
      <c r="H802" s="24">
        <f t="shared" si="85"/>
        <v>7.7947392985416153</v>
      </c>
      <c r="I802" s="25">
        <f t="shared" si="82"/>
        <v>2.7905041473619834E-3</v>
      </c>
      <c r="J802" s="24">
        <f t="shared" si="83"/>
        <v>6.7770352054796314E-3</v>
      </c>
      <c r="K802" s="14">
        <v>2.4</v>
      </c>
      <c r="L802" s="27">
        <v>7.85</v>
      </c>
      <c r="M802" s="27">
        <v>2.72</v>
      </c>
      <c r="N802" s="4">
        <f t="shared" si="75"/>
        <v>2.8860294117647056</v>
      </c>
      <c r="O802" s="20">
        <f t="shared" si="76"/>
        <v>4.3854748603351954</v>
      </c>
      <c r="P802">
        <f t="shared" si="84"/>
        <v>2576.8427243243245</v>
      </c>
    </row>
    <row r="803" spans="1:16">
      <c r="A803" s="27" t="s">
        <v>885</v>
      </c>
      <c r="B803" s="40" t="s">
        <v>510</v>
      </c>
      <c r="C803" s="23">
        <v>1.79</v>
      </c>
      <c r="D803" s="22">
        <v>750</v>
      </c>
      <c r="E803" s="26">
        <v>1.2</v>
      </c>
      <c r="F803" s="26">
        <v>789</v>
      </c>
      <c r="G803" s="27">
        <v>22.2</v>
      </c>
      <c r="H803" s="24">
        <f t="shared" si="85"/>
        <v>5.8460544739062117</v>
      </c>
      <c r="I803" s="25">
        <f t="shared" si="82"/>
        <v>1.5696585828911152E-3</v>
      </c>
      <c r="J803" s="24">
        <f t="shared" si="83"/>
        <v>6.7770352054796305E-3</v>
      </c>
      <c r="K803" s="14">
        <v>2.4</v>
      </c>
      <c r="L803" s="27">
        <v>7.82</v>
      </c>
      <c r="M803" s="27">
        <v>2.72</v>
      </c>
      <c r="N803" s="4">
        <f t="shared" si="75"/>
        <v>2.875</v>
      </c>
      <c r="O803" s="20">
        <f t="shared" si="76"/>
        <v>4.3687150837988824</v>
      </c>
      <c r="P803">
        <f t="shared" si="84"/>
        <v>2576.8427243243245</v>
      </c>
    </row>
    <row r="804" spans="1:16">
      <c r="A804" s="27" t="s">
        <v>886</v>
      </c>
      <c r="B804" s="40" t="s">
        <v>510</v>
      </c>
      <c r="C804" s="23">
        <v>1.79</v>
      </c>
      <c r="D804" s="22">
        <v>500</v>
      </c>
      <c r="E804" s="26">
        <v>1.2</v>
      </c>
      <c r="F804" s="26">
        <v>789</v>
      </c>
      <c r="G804" s="27">
        <v>22.2</v>
      </c>
      <c r="H804" s="24">
        <f t="shared" si="85"/>
        <v>3.8973696492708076</v>
      </c>
      <c r="I804" s="25">
        <f t="shared" si="82"/>
        <v>6.9762603684049584E-4</v>
      </c>
      <c r="J804" s="24">
        <f t="shared" si="83"/>
        <v>6.7770352054796314E-3</v>
      </c>
      <c r="K804" s="14">
        <v>2.4</v>
      </c>
      <c r="L804" s="27">
        <v>7.64</v>
      </c>
      <c r="M804" s="27">
        <v>2.7</v>
      </c>
      <c r="N804" s="4">
        <f t="shared" si="75"/>
        <v>2.8296296296296295</v>
      </c>
      <c r="O804" s="20">
        <f t="shared" si="76"/>
        <v>4.2681564245810053</v>
      </c>
      <c r="P804">
        <f t="shared" si="84"/>
        <v>2539.0872972972984</v>
      </c>
    </row>
    <row r="805" spans="1:16">
      <c r="A805" s="27" t="s">
        <v>887</v>
      </c>
      <c r="B805" s="40" t="s">
        <v>510</v>
      </c>
      <c r="C805" s="23">
        <v>1.79</v>
      </c>
      <c r="D805" s="22">
        <v>250</v>
      </c>
      <c r="E805" s="26">
        <v>1.2</v>
      </c>
      <c r="F805" s="26">
        <v>789</v>
      </c>
      <c r="G805" s="27">
        <v>22.2</v>
      </c>
      <c r="H805" s="24">
        <f t="shared" si="85"/>
        <v>1.9486848246354038</v>
      </c>
      <c r="I805" s="25">
        <f t="shared" si="82"/>
        <v>1.7440650921012396E-4</v>
      </c>
      <c r="J805" s="24">
        <f t="shared" si="83"/>
        <v>6.7770352054796314E-3</v>
      </c>
      <c r="K805" s="14">
        <v>2.4</v>
      </c>
      <c r="L805" s="27">
        <v>7.64</v>
      </c>
      <c r="M805" s="27">
        <v>2.72</v>
      </c>
      <c r="N805" s="4">
        <f t="shared" si="75"/>
        <v>2.8088235294117645</v>
      </c>
      <c r="O805" s="20">
        <f t="shared" si="76"/>
        <v>4.2681564245810053</v>
      </c>
      <c r="P805">
        <f t="shared" si="84"/>
        <v>2576.8427243243245</v>
      </c>
    </row>
    <row r="806" spans="1:16">
      <c r="A806" s="27" t="s">
        <v>888</v>
      </c>
      <c r="B806" s="40" t="s">
        <v>510</v>
      </c>
      <c r="C806" s="23">
        <v>1.79</v>
      </c>
      <c r="D806" s="22">
        <v>100</v>
      </c>
      <c r="E806" s="26">
        <v>1.2</v>
      </c>
      <c r="F806" s="26">
        <v>789</v>
      </c>
      <c r="G806" s="27">
        <v>22.2</v>
      </c>
      <c r="H806" s="24">
        <f t="shared" si="85"/>
        <v>0.77947392985416153</v>
      </c>
      <c r="I806" s="25">
        <f t="shared" si="82"/>
        <v>2.7905041473619831E-5</v>
      </c>
      <c r="J806" s="24">
        <f t="shared" si="83"/>
        <v>6.7770352054796314E-3</v>
      </c>
      <c r="K806" s="14">
        <v>2.4</v>
      </c>
      <c r="L806" s="27">
        <v>7.51</v>
      </c>
      <c r="M806" s="27">
        <v>2.69</v>
      </c>
      <c r="N806" s="4">
        <f t="shared" si="75"/>
        <v>2.7918215613382897</v>
      </c>
      <c r="O806" s="20">
        <f t="shared" si="76"/>
        <v>4.1955307262569832</v>
      </c>
      <c r="P806">
        <f t="shared" si="84"/>
        <v>2520.314072972973</v>
      </c>
    </row>
    <row r="807" spans="1:16">
      <c r="A807" s="27" t="s">
        <v>889</v>
      </c>
      <c r="B807" s="40" t="s">
        <v>510</v>
      </c>
      <c r="C807" s="23">
        <v>1.37</v>
      </c>
      <c r="D807" s="22">
        <v>2000</v>
      </c>
      <c r="E807" s="26">
        <v>1.2</v>
      </c>
      <c r="F807" s="26">
        <v>789</v>
      </c>
      <c r="G807" s="27">
        <v>22.2</v>
      </c>
      <c r="H807" s="24">
        <f t="shared" si="85"/>
        <v>20.368734809327727</v>
      </c>
      <c r="I807" s="25">
        <f t="shared" ref="I807:I842" si="86">(16 * F807 * (D807 * 10^-9 / 60)^2) / (PI()^2 * (C807 * 10^-3)^3 * (G807 * 10^-3))</f>
        <v>2.4896600763919897E-2</v>
      </c>
      <c r="J807" s="24">
        <f t="shared" ref="J807:J842" si="87">SQRT(I807)/H807</f>
        <v>7.7465079985737789E-3</v>
      </c>
      <c r="K807" s="14">
        <v>1.8</v>
      </c>
      <c r="L807" s="27">
        <v>6.35</v>
      </c>
      <c r="M807" s="27">
        <v>2.5499999999999998</v>
      </c>
      <c r="N807" s="4">
        <f t="shared" si="75"/>
        <v>2.4901960784313726</v>
      </c>
      <c r="O807" s="20">
        <f t="shared" si="76"/>
        <v>4.6350364963503647</v>
      </c>
      <c r="P807">
        <f t="shared" si="84"/>
        <v>2264.8031756756754</v>
      </c>
    </row>
    <row r="808" spans="1:16">
      <c r="A808" s="27" t="s">
        <v>890</v>
      </c>
      <c r="B808" s="40" t="s">
        <v>510</v>
      </c>
      <c r="C808" s="23">
        <v>1.37</v>
      </c>
      <c r="D808" s="22">
        <v>1750</v>
      </c>
      <c r="E808" s="26">
        <v>1.2</v>
      </c>
      <c r="F808" s="26">
        <v>789</v>
      </c>
      <c r="G808" s="27">
        <v>22.2</v>
      </c>
      <c r="H808" s="24">
        <f t="shared" si="85"/>
        <v>17.822642958161762</v>
      </c>
      <c r="I808" s="25">
        <f t="shared" si="86"/>
        <v>1.9061459959876167E-2</v>
      </c>
      <c r="J808" s="24">
        <f t="shared" si="87"/>
        <v>7.7465079985737781E-3</v>
      </c>
      <c r="K808" s="14">
        <v>1.8</v>
      </c>
      <c r="L808" s="27">
        <v>6.39</v>
      </c>
      <c r="M808" s="27">
        <v>2.58</v>
      </c>
      <c r="N808" s="4">
        <f t="shared" si="75"/>
        <v>2.4767441860465116</v>
      </c>
      <c r="O808" s="20">
        <f t="shared" si="76"/>
        <v>4.6642335766423351</v>
      </c>
      <c r="P808">
        <f t="shared" si="84"/>
        <v>2318.4061297297303</v>
      </c>
    </row>
    <row r="809" spans="1:16">
      <c r="A809" s="27" t="s">
        <v>891</v>
      </c>
      <c r="B809" s="40" t="s">
        <v>510</v>
      </c>
      <c r="C809" s="23">
        <v>1.37</v>
      </c>
      <c r="D809" s="22">
        <v>1500</v>
      </c>
      <c r="E809" s="26">
        <v>1.2</v>
      </c>
      <c r="F809" s="26">
        <v>789</v>
      </c>
      <c r="G809" s="27">
        <v>22.2</v>
      </c>
      <c r="H809" s="24">
        <f t="shared" si="85"/>
        <v>15.276551106995795</v>
      </c>
      <c r="I809" s="25">
        <f t="shared" si="86"/>
        <v>1.4004337929704938E-2</v>
      </c>
      <c r="J809" s="24">
        <f t="shared" si="87"/>
        <v>7.7465079985737772E-3</v>
      </c>
      <c r="K809" s="14">
        <v>1.8</v>
      </c>
      <c r="L809" s="27">
        <v>6.43</v>
      </c>
      <c r="M809" s="27">
        <v>2.58</v>
      </c>
      <c r="N809" s="4">
        <f t="shared" si="75"/>
        <v>2.4922480620155039</v>
      </c>
      <c r="O809" s="20">
        <f t="shared" si="76"/>
        <v>4.6934306569343063</v>
      </c>
      <c r="P809">
        <f t="shared" si="84"/>
        <v>2318.4061297297303</v>
      </c>
    </row>
    <row r="810" spans="1:16">
      <c r="A810" s="27" t="s">
        <v>892</v>
      </c>
      <c r="B810" s="40" t="s">
        <v>510</v>
      </c>
      <c r="C810" s="23">
        <v>1.37</v>
      </c>
      <c r="D810" s="22">
        <v>1250</v>
      </c>
      <c r="E810" s="26">
        <v>1.2</v>
      </c>
      <c r="F810" s="26">
        <v>789</v>
      </c>
      <c r="G810" s="27">
        <v>22.2</v>
      </c>
      <c r="H810" s="24">
        <f t="shared" si="85"/>
        <v>12.730459255829828</v>
      </c>
      <c r="I810" s="25">
        <f t="shared" si="86"/>
        <v>9.7252346734062068E-3</v>
      </c>
      <c r="J810" s="24">
        <f t="shared" si="87"/>
        <v>7.7465079985737781E-3</v>
      </c>
      <c r="K810" s="14">
        <v>1.8</v>
      </c>
      <c r="L810" s="27">
        <v>6.27</v>
      </c>
      <c r="M810" s="27">
        <v>2.54</v>
      </c>
      <c r="N810" s="4">
        <f t="shared" si="75"/>
        <v>2.4685039370078736</v>
      </c>
      <c r="O810" s="20">
        <f t="shared" si="76"/>
        <v>4.5766423357664223</v>
      </c>
      <c r="P810">
        <f t="shared" si="84"/>
        <v>2247.0748432432433</v>
      </c>
    </row>
    <row r="811" spans="1:16">
      <c r="A811" s="27" t="s">
        <v>893</v>
      </c>
      <c r="B811" s="40" t="s">
        <v>510</v>
      </c>
      <c r="C811" s="23">
        <v>1.37</v>
      </c>
      <c r="D811" s="22">
        <v>1000</v>
      </c>
      <c r="E811" s="26">
        <v>1.2</v>
      </c>
      <c r="F811" s="26">
        <v>789</v>
      </c>
      <c r="G811" s="27">
        <v>22.2</v>
      </c>
      <c r="H811" s="24">
        <f t="shared" si="85"/>
        <v>10.184367404663863</v>
      </c>
      <c r="I811" s="25">
        <f t="shared" si="86"/>
        <v>6.2241501909799744E-3</v>
      </c>
      <c r="J811" s="24">
        <f t="shared" si="87"/>
        <v>7.7465079985737789E-3</v>
      </c>
      <c r="K811" s="14">
        <v>1.8</v>
      </c>
      <c r="L811" s="27">
        <v>6.25</v>
      </c>
      <c r="M811" s="27">
        <v>2.54</v>
      </c>
      <c r="N811" s="4">
        <f t="shared" si="75"/>
        <v>2.4606299212598426</v>
      </c>
      <c r="O811" s="20">
        <f t="shared" si="76"/>
        <v>4.5620437956204372</v>
      </c>
      <c r="P811">
        <f t="shared" si="84"/>
        <v>2247.0748432432433</v>
      </c>
    </row>
    <row r="812" spans="1:16">
      <c r="A812" s="27" t="s">
        <v>894</v>
      </c>
      <c r="B812" s="40" t="s">
        <v>510</v>
      </c>
      <c r="C812" s="23">
        <v>1.37</v>
      </c>
      <c r="D812" s="22">
        <v>750</v>
      </c>
      <c r="E812" s="26">
        <v>1.2</v>
      </c>
      <c r="F812" s="26">
        <v>789</v>
      </c>
      <c r="G812" s="27">
        <v>22.2</v>
      </c>
      <c r="H812" s="24">
        <f t="shared" si="85"/>
        <v>7.6382755534978974</v>
      </c>
      <c r="I812" s="25">
        <f t="shared" si="86"/>
        <v>3.5010844824262346E-3</v>
      </c>
      <c r="J812" s="24">
        <f t="shared" si="87"/>
        <v>7.7465079985737772E-3</v>
      </c>
      <c r="K812" s="14">
        <v>1.8</v>
      </c>
      <c r="L812" s="27">
        <v>6.2</v>
      </c>
      <c r="M812" s="27">
        <v>2.52</v>
      </c>
      <c r="N812" s="4">
        <f t="shared" si="75"/>
        <v>2.4603174603174605</v>
      </c>
      <c r="O812" s="20">
        <f t="shared" si="76"/>
        <v>4.5255474452554738</v>
      </c>
      <c r="P812">
        <f t="shared" si="84"/>
        <v>2211.8271567567567</v>
      </c>
    </row>
    <row r="813" spans="1:16">
      <c r="A813" s="27" t="s">
        <v>895</v>
      </c>
      <c r="B813" s="40" t="s">
        <v>510</v>
      </c>
      <c r="C813" s="23">
        <v>1.37</v>
      </c>
      <c r="D813" s="22">
        <v>500</v>
      </c>
      <c r="E813" s="26">
        <v>1.2</v>
      </c>
      <c r="F813" s="26">
        <v>789</v>
      </c>
      <c r="G813" s="27">
        <v>22.2</v>
      </c>
      <c r="H813" s="24">
        <f t="shared" si="85"/>
        <v>5.0921837023319316</v>
      </c>
      <c r="I813" s="25">
        <f t="shared" si="86"/>
        <v>1.5560375477449936E-3</v>
      </c>
      <c r="J813" s="24">
        <f t="shared" si="87"/>
        <v>7.7465079985737789E-3</v>
      </c>
      <c r="K813" s="14">
        <v>1.8</v>
      </c>
      <c r="L813" s="27">
        <v>6.02</v>
      </c>
      <c r="M813" s="27">
        <v>2.5099999999999998</v>
      </c>
      <c r="N813" s="4">
        <f t="shared" si="75"/>
        <v>2.3984063745019921</v>
      </c>
      <c r="O813" s="20">
        <f t="shared" si="76"/>
        <v>4.3941605839416056</v>
      </c>
      <c r="P813">
        <f t="shared" si="84"/>
        <v>2194.3078027027027</v>
      </c>
    </row>
    <row r="814" spans="1:16">
      <c r="A814" s="27" t="s">
        <v>896</v>
      </c>
      <c r="B814" s="40" t="s">
        <v>510</v>
      </c>
      <c r="C814" s="23">
        <v>1.37</v>
      </c>
      <c r="D814" s="22">
        <v>250</v>
      </c>
      <c r="E814" s="26">
        <v>1.2</v>
      </c>
      <c r="F814" s="26">
        <v>789</v>
      </c>
      <c r="G814" s="27">
        <v>22.2</v>
      </c>
      <c r="H814" s="24">
        <f t="shared" si="85"/>
        <v>2.5460918511659658</v>
      </c>
      <c r="I814" s="25">
        <f t="shared" si="86"/>
        <v>3.890093869362484E-4</v>
      </c>
      <c r="J814" s="24">
        <f t="shared" si="87"/>
        <v>7.7465079985737789E-3</v>
      </c>
      <c r="K814" s="14">
        <v>1.8</v>
      </c>
      <c r="L814" s="27">
        <v>5.97</v>
      </c>
      <c r="M814" s="27">
        <v>2.5099999999999998</v>
      </c>
      <c r="N814" s="4">
        <f t="shared" si="75"/>
        <v>2.3784860557768925</v>
      </c>
      <c r="O814" s="20">
        <f t="shared" si="76"/>
        <v>4.3576642335766422</v>
      </c>
      <c r="P814">
        <f t="shared" si="84"/>
        <v>2194.3078027027027</v>
      </c>
    </row>
    <row r="815" spans="1:16">
      <c r="A815" s="27" t="s">
        <v>897</v>
      </c>
      <c r="B815" s="40" t="s">
        <v>510</v>
      </c>
      <c r="C815" s="23">
        <v>1.37</v>
      </c>
      <c r="D815" s="22">
        <v>100</v>
      </c>
      <c r="E815" s="26">
        <v>1.2</v>
      </c>
      <c r="F815" s="26">
        <v>789</v>
      </c>
      <c r="G815" s="27">
        <v>22.2</v>
      </c>
      <c r="H815" s="24">
        <f t="shared" si="85"/>
        <v>1.0184367404663863</v>
      </c>
      <c r="I815" s="25">
        <f t="shared" si="86"/>
        <v>6.2241501909799735E-5</v>
      </c>
      <c r="J815" s="24">
        <f t="shared" si="87"/>
        <v>7.7465079985737789E-3</v>
      </c>
      <c r="K815" s="14">
        <v>1.8</v>
      </c>
      <c r="L815" s="27">
        <v>5.87</v>
      </c>
      <c r="M815" s="27">
        <v>2.4900000000000002</v>
      </c>
      <c r="N815" s="4">
        <f t="shared" si="75"/>
        <v>2.357429718875502</v>
      </c>
      <c r="O815" s="20">
        <f t="shared" si="76"/>
        <v>4.2846715328467146</v>
      </c>
      <c r="P815">
        <f t="shared" si="84"/>
        <v>2159.4780729729737</v>
      </c>
    </row>
    <row r="816" spans="1:16">
      <c r="A816" s="27" t="s">
        <v>898</v>
      </c>
      <c r="B816" s="40" t="s">
        <v>510</v>
      </c>
      <c r="C816" s="28">
        <v>0.83</v>
      </c>
      <c r="D816" s="22">
        <v>2000</v>
      </c>
      <c r="E816" s="26">
        <v>1.2</v>
      </c>
      <c r="F816" s="26">
        <v>789</v>
      </c>
      <c r="G816" s="27">
        <v>22.2</v>
      </c>
      <c r="H816" s="24">
        <f t="shared" si="85"/>
        <v>33.620682757565049</v>
      </c>
      <c r="I816" s="25">
        <f t="shared" si="86"/>
        <v>0.11196118321002006</v>
      </c>
      <c r="J816" s="24">
        <f t="shared" si="87"/>
        <v>9.9523859859819794E-3</v>
      </c>
      <c r="K816" s="14">
        <v>1.27</v>
      </c>
      <c r="L816" s="27">
        <v>4.8099999999999996</v>
      </c>
      <c r="M816" s="27">
        <v>2.36</v>
      </c>
      <c r="N816" s="4">
        <f t="shared" si="75"/>
        <v>2.0381355932203391</v>
      </c>
      <c r="O816" s="20">
        <f t="shared" si="76"/>
        <v>5.7951807228915664</v>
      </c>
      <c r="P816">
        <f t="shared" si="84"/>
        <v>1939.8766270270273</v>
      </c>
    </row>
    <row r="817" spans="1:16">
      <c r="A817" s="27" t="s">
        <v>899</v>
      </c>
      <c r="B817" s="40" t="s">
        <v>510</v>
      </c>
      <c r="C817" s="28">
        <v>0.83</v>
      </c>
      <c r="D817" s="22">
        <v>1750</v>
      </c>
      <c r="E817" s="26">
        <v>1.2</v>
      </c>
      <c r="F817" s="26">
        <v>789</v>
      </c>
      <c r="G817" s="27">
        <v>22.2</v>
      </c>
      <c r="H817" s="24">
        <f t="shared" si="85"/>
        <v>29.418097412869415</v>
      </c>
      <c r="I817" s="25">
        <f t="shared" si="86"/>
        <v>8.5720280895171599E-2</v>
      </c>
      <c r="J817" s="24">
        <f t="shared" si="87"/>
        <v>9.9523859859819794E-3</v>
      </c>
      <c r="K817" s="14">
        <v>1.27</v>
      </c>
      <c r="L817" s="27">
        <v>4.7300000000000004</v>
      </c>
      <c r="M817" s="27">
        <v>2.27</v>
      </c>
      <c r="N817" s="4">
        <f t="shared" si="75"/>
        <v>2.0837004405286343</v>
      </c>
      <c r="O817" s="20">
        <f t="shared" si="76"/>
        <v>5.6987951807228923</v>
      </c>
      <c r="P817">
        <f t="shared" si="84"/>
        <v>1794.7411432432434</v>
      </c>
    </row>
    <row r="818" spans="1:16">
      <c r="A818" s="27" t="s">
        <v>900</v>
      </c>
      <c r="B818" s="40" t="s">
        <v>510</v>
      </c>
      <c r="C818" s="28">
        <v>0.83</v>
      </c>
      <c r="D818" s="22">
        <v>1500</v>
      </c>
      <c r="E818" s="26">
        <v>1.2</v>
      </c>
      <c r="F818" s="26">
        <v>789</v>
      </c>
      <c r="G818" s="27">
        <v>22.2</v>
      </c>
      <c r="H818" s="24">
        <f t="shared" si="85"/>
        <v>25.215512068173783</v>
      </c>
      <c r="I818" s="25">
        <f t="shared" si="86"/>
        <v>6.2978165555636276E-2</v>
      </c>
      <c r="J818" s="24">
        <f t="shared" si="87"/>
        <v>9.9523859859819812E-3</v>
      </c>
      <c r="K818" s="14">
        <v>1.27</v>
      </c>
      <c r="L818" s="27">
        <v>4.76</v>
      </c>
      <c r="M818" s="27">
        <v>2.27</v>
      </c>
      <c r="N818" s="4">
        <f t="shared" si="75"/>
        <v>2.0969162995594712</v>
      </c>
      <c r="O818" s="20">
        <f t="shared" si="76"/>
        <v>5.7349397590361448</v>
      </c>
      <c r="P818">
        <f t="shared" si="84"/>
        <v>1794.7411432432434</v>
      </c>
    </row>
    <row r="819" spans="1:16">
      <c r="A819" s="27" t="s">
        <v>901</v>
      </c>
      <c r="B819" s="40" t="s">
        <v>510</v>
      </c>
      <c r="C819" s="28">
        <v>0.83</v>
      </c>
      <c r="D819" s="22">
        <v>1250</v>
      </c>
      <c r="E819" s="26">
        <v>1.2</v>
      </c>
      <c r="F819" s="26">
        <v>789</v>
      </c>
      <c r="G819" s="27">
        <v>22.2</v>
      </c>
      <c r="H819" s="24">
        <f t="shared" si="85"/>
        <v>21.012926723478152</v>
      </c>
      <c r="I819" s="25">
        <f t="shared" si="86"/>
        <v>4.3734837191414078E-2</v>
      </c>
      <c r="J819" s="24">
        <f t="shared" si="87"/>
        <v>9.9523859859819794E-3</v>
      </c>
      <c r="K819" s="14">
        <v>1.27</v>
      </c>
      <c r="L819" s="27">
        <v>4.6900000000000004</v>
      </c>
      <c r="M819" s="27">
        <v>2.2999999999999998</v>
      </c>
      <c r="N819" s="4">
        <f t="shared" si="75"/>
        <v>2.0391304347826091</v>
      </c>
      <c r="O819" s="20">
        <f t="shared" si="76"/>
        <v>5.6506024096385552</v>
      </c>
      <c r="P819">
        <f t="shared" si="84"/>
        <v>1842.4927027027027</v>
      </c>
    </row>
    <row r="820" spans="1:16">
      <c r="A820" s="27" t="s">
        <v>902</v>
      </c>
      <c r="B820" s="40" t="s">
        <v>510</v>
      </c>
      <c r="C820" s="28">
        <v>0.83</v>
      </c>
      <c r="D820" s="22">
        <v>1000</v>
      </c>
      <c r="E820" s="26">
        <v>1.2</v>
      </c>
      <c r="F820" s="26">
        <v>789</v>
      </c>
      <c r="G820" s="27">
        <v>22.2</v>
      </c>
      <c r="H820" s="24">
        <f t="shared" si="85"/>
        <v>16.810341378782525</v>
      </c>
      <c r="I820" s="25">
        <f t="shared" si="86"/>
        <v>2.7990295802505016E-2</v>
      </c>
      <c r="J820" s="24">
        <f t="shared" si="87"/>
        <v>9.9523859859819794E-3</v>
      </c>
      <c r="K820" s="14">
        <v>1.27</v>
      </c>
      <c r="L820" s="27">
        <v>4.59</v>
      </c>
      <c r="M820" s="27">
        <v>2.2599999999999998</v>
      </c>
      <c r="N820" s="4">
        <f t="shared" si="75"/>
        <v>2.0309734513274336</v>
      </c>
      <c r="O820" s="20">
        <f t="shared" si="76"/>
        <v>5.5301204819277112</v>
      </c>
      <c r="P820">
        <f t="shared" si="84"/>
        <v>1778.9632756756755</v>
      </c>
    </row>
    <row r="821" spans="1:16">
      <c r="A821" s="27" t="s">
        <v>903</v>
      </c>
      <c r="B821" s="40" t="s">
        <v>510</v>
      </c>
      <c r="C821" s="28">
        <v>0.83</v>
      </c>
      <c r="D821" s="22">
        <v>750</v>
      </c>
      <c r="E821" s="26">
        <v>1.2</v>
      </c>
      <c r="F821" s="26">
        <v>789</v>
      </c>
      <c r="G821" s="27">
        <v>22.2</v>
      </c>
      <c r="H821" s="24">
        <f t="shared" si="85"/>
        <v>12.607756034086892</v>
      </c>
      <c r="I821" s="25">
        <f t="shared" si="86"/>
        <v>1.5744541388909069E-2</v>
      </c>
      <c r="J821" s="24">
        <f t="shared" si="87"/>
        <v>9.9523859859819812E-3</v>
      </c>
      <c r="K821" s="14">
        <v>1.27</v>
      </c>
      <c r="L821" s="27">
        <v>4.66</v>
      </c>
      <c r="M821" s="27">
        <v>2.2799999999999998</v>
      </c>
      <c r="N821" s="4">
        <f t="shared" si="75"/>
        <v>2.0438596491228074</v>
      </c>
      <c r="O821" s="20">
        <f t="shared" si="76"/>
        <v>5.6144578313253017</v>
      </c>
      <c r="P821">
        <f t="shared" si="84"/>
        <v>1810.5886702702703</v>
      </c>
    </row>
    <row r="822" spans="1:16">
      <c r="A822" s="27" t="s">
        <v>904</v>
      </c>
      <c r="B822" s="40" t="s">
        <v>510</v>
      </c>
      <c r="C822" s="28">
        <v>0.83</v>
      </c>
      <c r="D822" s="22">
        <v>500</v>
      </c>
      <c r="E822" s="26">
        <v>1.2</v>
      </c>
      <c r="F822" s="26">
        <v>789</v>
      </c>
      <c r="G822" s="27">
        <v>22.2</v>
      </c>
      <c r="H822" s="24">
        <f t="shared" si="85"/>
        <v>8.4051706893912623</v>
      </c>
      <c r="I822" s="25">
        <f t="shared" si="86"/>
        <v>6.9975739506262539E-3</v>
      </c>
      <c r="J822" s="24">
        <f t="shared" si="87"/>
        <v>9.9523859859819794E-3</v>
      </c>
      <c r="K822" s="14">
        <v>1.27</v>
      </c>
      <c r="L822" s="27">
        <v>4.5199999999999996</v>
      </c>
      <c r="M822" s="27">
        <v>2.2799999999999998</v>
      </c>
      <c r="N822" s="4">
        <f t="shared" si="75"/>
        <v>1.9824561403508771</v>
      </c>
      <c r="O822" s="20">
        <f t="shared" si="76"/>
        <v>5.4457831325301198</v>
      </c>
      <c r="P822">
        <f t="shared" si="84"/>
        <v>1810.5886702702703</v>
      </c>
    </row>
    <row r="823" spans="1:16">
      <c r="A823" s="27" t="s">
        <v>905</v>
      </c>
      <c r="B823" s="40" t="s">
        <v>510</v>
      </c>
      <c r="C823" s="28">
        <v>0.83</v>
      </c>
      <c r="D823" s="22">
        <v>250</v>
      </c>
      <c r="E823" s="26">
        <v>1.2</v>
      </c>
      <c r="F823" s="26">
        <v>789</v>
      </c>
      <c r="G823" s="27">
        <v>22.2</v>
      </c>
      <c r="H823" s="24">
        <f t="shared" si="85"/>
        <v>4.2025853446956312</v>
      </c>
      <c r="I823" s="25">
        <f t="shared" si="86"/>
        <v>1.7493934876565635E-3</v>
      </c>
      <c r="J823" s="24">
        <f t="shared" si="87"/>
        <v>9.9523859859819794E-3</v>
      </c>
      <c r="K823" s="14">
        <v>1.27</v>
      </c>
      <c r="L823" s="27">
        <v>4.32</v>
      </c>
      <c r="M823" s="27">
        <v>2.2599999999999998</v>
      </c>
      <c r="N823" s="4">
        <f t="shared" si="75"/>
        <v>1.9115044247787614</v>
      </c>
      <c r="O823" s="20">
        <f t="shared" si="76"/>
        <v>5.2048192771084345</v>
      </c>
      <c r="P823">
        <f t="shared" si="84"/>
        <v>1778.9632756756755</v>
      </c>
    </row>
    <row r="824" spans="1:16">
      <c r="A824" s="27" t="s">
        <v>906</v>
      </c>
      <c r="B824" s="40" t="s">
        <v>510</v>
      </c>
      <c r="C824" s="28">
        <v>0.83</v>
      </c>
      <c r="D824" s="22">
        <v>100</v>
      </c>
      <c r="E824" s="26">
        <v>1.2</v>
      </c>
      <c r="F824" s="26">
        <v>789</v>
      </c>
      <c r="G824" s="27">
        <v>22.2</v>
      </c>
      <c r="H824" s="24">
        <f t="shared" si="85"/>
        <v>1.6810341378782523</v>
      </c>
      <c r="I824" s="25">
        <f t="shared" si="86"/>
        <v>2.7990295802505014E-4</v>
      </c>
      <c r="J824" s="24">
        <f t="shared" si="87"/>
        <v>9.9523859859819794E-3</v>
      </c>
      <c r="K824" s="14">
        <v>1.27</v>
      </c>
      <c r="L824" s="27">
        <v>4.17</v>
      </c>
      <c r="M824" s="27">
        <v>2.2599999999999998</v>
      </c>
      <c r="N824" s="4">
        <f t="shared" si="75"/>
        <v>1.845132743362832</v>
      </c>
      <c r="O824" s="20">
        <f t="shared" si="76"/>
        <v>5.024096385542169</v>
      </c>
      <c r="P824">
        <f t="shared" si="84"/>
        <v>1778.9632756756755</v>
      </c>
    </row>
    <row r="825" spans="1:16">
      <c r="A825" s="27" t="s">
        <v>907</v>
      </c>
      <c r="B825" s="40" t="s">
        <v>510</v>
      </c>
      <c r="C825" s="28">
        <v>0.25</v>
      </c>
      <c r="D825" s="22">
        <v>2000</v>
      </c>
      <c r="E825" s="26">
        <v>1.2</v>
      </c>
      <c r="F825" s="26">
        <v>789</v>
      </c>
      <c r="G825" s="27">
        <v>22.2</v>
      </c>
      <c r="H825" s="24">
        <f t="shared" si="85"/>
        <v>111.62066675511595</v>
      </c>
      <c r="I825" s="25">
        <f t="shared" si="86"/>
        <v>4.0971487401028952</v>
      </c>
      <c r="J825" s="24">
        <f t="shared" si="87"/>
        <v>1.8134110295859075E-2</v>
      </c>
      <c r="K825" s="14">
        <v>0.51</v>
      </c>
      <c r="L825" s="27">
        <v>2.63</v>
      </c>
      <c r="M825" s="27">
        <v>1.88</v>
      </c>
      <c r="N825" s="4">
        <f t="shared" si="75"/>
        <v>1.3989361702127661</v>
      </c>
      <c r="O825" s="20">
        <f t="shared" si="76"/>
        <v>10.52</v>
      </c>
      <c r="P825">
        <f t="shared" si="84"/>
        <v>1231.0219675675678</v>
      </c>
    </row>
    <row r="826" spans="1:16">
      <c r="A826" s="27" t="s">
        <v>908</v>
      </c>
      <c r="B826" s="40" t="s">
        <v>510</v>
      </c>
      <c r="C826" s="28">
        <v>0.25</v>
      </c>
      <c r="D826" s="22">
        <v>1750</v>
      </c>
      <c r="E826" s="26">
        <v>1.2</v>
      </c>
      <c r="F826" s="26">
        <v>789</v>
      </c>
      <c r="G826" s="27">
        <v>22.2</v>
      </c>
      <c r="H826" s="24">
        <f t="shared" si="85"/>
        <v>97.668083410726439</v>
      </c>
      <c r="I826" s="25">
        <f t="shared" si="86"/>
        <v>3.136879504141278</v>
      </c>
      <c r="J826" s="24">
        <f t="shared" si="87"/>
        <v>1.8134110295859075E-2</v>
      </c>
      <c r="K826" s="14">
        <v>0.51</v>
      </c>
      <c r="L826" s="27">
        <v>2.66</v>
      </c>
      <c r="M826" s="27">
        <v>1.89</v>
      </c>
      <c r="N826" s="4">
        <f t="shared" si="75"/>
        <v>1.4074074074074077</v>
      </c>
      <c r="O826" s="20">
        <f t="shared" si="76"/>
        <v>10.64</v>
      </c>
      <c r="P826">
        <f t="shared" si="84"/>
        <v>1244.1527756756757</v>
      </c>
    </row>
    <row r="827" spans="1:16">
      <c r="A827" s="27" t="s">
        <v>909</v>
      </c>
      <c r="B827" s="40" t="s">
        <v>510</v>
      </c>
      <c r="C827" s="28">
        <v>0.25</v>
      </c>
      <c r="D827" s="22">
        <v>1500</v>
      </c>
      <c r="E827" s="26">
        <v>1.2</v>
      </c>
      <c r="F827" s="26">
        <v>789</v>
      </c>
      <c r="G827" s="27">
        <v>22.2</v>
      </c>
      <c r="H827" s="24">
        <f t="shared" si="85"/>
        <v>83.715500066336958</v>
      </c>
      <c r="I827" s="25">
        <f t="shared" si="86"/>
        <v>2.3046461663078777</v>
      </c>
      <c r="J827" s="24">
        <f t="shared" si="87"/>
        <v>1.8134110295859072E-2</v>
      </c>
      <c r="K827" s="14">
        <v>0.51</v>
      </c>
      <c r="L827" s="27">
        <v>2.63</v>
      </c>
      <c r="M827" s="27">
        <v>1.85</v>
      </c>
      <c r="N827" s="4">
        <f t="shared" si="75"/>
        <v>1.4216216216216215</v>
      </c>
      <c r="O827" s="20">
        <f t="shared" si="76"/>
        <v>10.52</v>
      </c>
      <c r="P827">
        <f t="shared" si="84"/>
        <v>1192.0475000000004</v>
      </c>
    </row>
    <row r="828" spans="1:16">
      <c r="A828" s="27" t="s">
        <v>910</v>
      </c>
      <c r="B828" s="40" t="s">
        <v>510</v>
      </c>
      <c r="C828" s="28">
        <v>0.25</v>
      </c>
      <c r="D828" s="22">
        <v>1250</v>
      </c>
      <c r="E828" s="26">
        <v>1.2</v>
      </c>
      <c r="F828" s="26">
        <v>789</v>
      </c>
      <c r="G828" s="27">
        <v>22.2</v>
      </c>
      <c r="H828" s="24">
        <f t="shared" si="85"/>
        <v>69.762916721947462</v>
      </c>
      <c r="I828" s="25">
        <f t="shared" si="86"/>
        <v>1.6004487266026928</v>
      </c>
      <c r="J828" s="24">
        <f t="shared" si="87"/>
        <v>1.8134110295859072E-2</v>
      </c>
      <c r="K828" s="14">
        <v>0.51</v>
      </c>
      <c r="L828" s="27">
        <v>2.67</v>
      </c>
      <c r="M828" s="27">
        <v>1.89</v>
      </c>
      <c r="N828" s="4">
        <f t="shared" si="75"/>
        <v>1.4126984126984128</v>
      </c>
      <c r="O828" s="20">
        <f t="shared" si="76"/>
        <v>10.68</v>
      </c>
      <c r="P828">
        <f t="shared" si="84"/>
        <v>1244.1527756756757</v>
      </c>
    </row>
    <row r="829" spans="1:16">
      <c r="A829" s="27" t="s">
        <v>911</v>
      </c>
      <c r="B829" s="40" t="s">
        <v>510</v>
      </c>
      <c r="C829" s="28">
        <v>0.25</v>
      </c>
      <c r="D829" s="22">
        <v>1000</v>
      </c>
      <c r="E829" s="26">
        <v>1.2</v>
      </c>
      <c r="F829" s="26">
        <v>789</v>
      </c>
      <c r="G829" s="27">
        <v>22.2</v>
      </c>
      <c r="H829" s="24">
        <f t="shared" si="85"/>
        <v>55.810333377557974</v>
      </c>
      <c r="I829" s="25">
        <f t="shared" si="86"/>
        <v>1.0242871850257238</v>
      </c>
      <c r="J829" s="24">
        <f t="shared" si="87"/>
        <v>1.8134110295859075E-2</v>
      </c>
      <c r="K829" s="14">
        <v>0.51</v>
      </c>
      <c r="L829" s="27">
        <v>2.58</v>
      </c>
      <c r="M829" s="27">
        <v>1.86</v>
      </c>
      <c r="N829" s="4">
        <f t="shared" si="75"/>
        <v>1.3870967741935483</v>
      </c>
      <c r="O829" s="20">
        <f t="shared" si="76"/>
        <v>10.32</v>
      </c>
      <c r="P829">
        <f t="shared" si="84"/>
        <v>1204.9693297297299</v>
      </c>
    </row>
    <row r="830" spans="1:16">
      <c r="A830" s="27" t="s">
        <v>912</v>
      </c>
      <c r="B830" s="40" t="s">
        <v>510</v>
      </c>
      <c r="C830" s="28">
        <v>0.25</v>
      </c>
      <c r="D830" s="22">
        <v>750</v>
      </c>
      <c r="E830" s="26">
        <v>1.2</v>
      </c>
      <c r="F830" s="26">
        <v>789</v>
      </c>
      <c r="G830" s="27">
        <v>22.2</v>
      </c>
      <c r="H830" s="24">
        <f t="shared" si="85"/>
        <v>41.857750033168479</v>
      </c>
      <c r="I830" s="25">
        <f t="shared" si="86"/>
        <v>0.57616154157696942</v>
      </c>
      <c r="J830" s="24">
        <f t="shared" si="87"/>
        <v>1.8134110295859072E-2</v>
      </c>
      <c r="K830" s="14">
        <v>0.51</v>
      </c>
      <c r="L830" s="27">
        <v>2.59</v>
      </c>
      <c r="M830" s="27">
        <v>1.87</v>
      </c>
      <c r="N830" s="4">
        <f t="shared" si="75"/>
        <v>1.3850267379679142</v>
      </c>
      <c r="O830" s="20">
        <f t="shared" si="76"/>
        <v>10.36</v>
      </c>
      <c r="P830">
        <f t="shared" si="84"/>
        <v>1217.9608189189191</v>
      </c>
    </row>
    <row r="831" spans="1:16">
      <c r="A831" s="27" t="s">
        <v>913</v>
      </c>
      <c r="B831" s="40" t="s">
        <v>510</v>
      </c>
      <c r="C831" s="28">
        <v>0.25</v>
      </c>
      <c r="D831" s="22">
        <v>500</v>
      </c>
      <c r="E831" s="26">
        <v>1.2</v>
      </c>
      <c r="F831" s="26">
        <v>789</v>
      </c>
      <c r="G831" s="27">
        <v>22.2</v>
      </c>
      <c r="H831" s="24">
        <f t="shared" si="85"/>
        <v>27.905166688778987</v>
      </c>
      <c r="I831" s="25">
        <f t="shared" si="86"/>
        <v>0.25607179625643095</v>
      </c>
      <c r="J831" s="24">
        <f t="shared" si="87"/>
        <v>1.8134110295859075E-2</v>
      </c>
      <c r="K831" s="14">
        <v>0.51</v>
      </c>
      <c r="L831" s="27">
        <v>2.56</v>
      </c>
      <c r="M831" s="27">
        <v>1.87</v>
      </c>
      <c r="N831" s="4">
        <f t="shared" si="75"/>
        <v>1.3689839572192513</v>
      </c>
      <c r="O831" s="20">
        <f t="shared" si="76"/>
        <v>10.24</v>
      </c>
      <c r="P831">
        <f t="shared" si="84"/>
        <v>1217.9608189189191</v>
      </c>
    </row>
    <row r="832" spans="1:16">
      <c r="A832" s="27" t="s">
        <v>914</v>
      </c>
      <c r="B832" s="40" t="s">
        <v>510</v>
      </c>
      <c r="C832" s="28">
        <v>0.25</v>
      </c>
      <c r="D832" s="22">
        <v>250</v>
      </c>
      <c r="E832" s="26">
        <v>1.2</v>
      </c>
      <c r="F832" s="26">
        <v>789</v>
      </c>
      <c r="G832" s="27">
        <v>22.2</v>
      </c>
      <c r="H832" s="24">
        <f t="shared" si="85"/>
        <v>13.952583344389494</v>
      </c>
      <c r="I832" s="25">
        <f t="shared" si="86"/>
        <v>6.4017949064107738E-2</v>
      </c>
      <c r="J832" s="24">
        <f t="shared" si="87"/>
        <v>1.8134110295859075E-2</v>
      </c>
      <c r="K832" s="14">
        <v>0.51</v>
      </c>
      <c r="L832" s="27">
        <v>2.5</v>
      </c>
      <c r="M832" s="27">
        <v>1.85</v>
      </c>
      <c r="N832" s="4">
        <f t="shared" si="75"/>
        <v>1.3513513513513513</v>
      </c>
      <c r="O832" s="20">
        <f t="shared" si="76"/>
        <v>10</v>
      </c>
      <c r="P832">
        <f t="shared" si="84"/>
        <v>1192.0475000000004</v>
      </c>
    </row>
    <row r="833" spans="1:16">
      <c r="A833" s="27" t="s">
        <v>915</v>
      </c>
      <c r="B833" s="40" t="s">
        <v>510</v>
      </c>
      <c r="C833" s="28">
        <v>0.25</v>
      </c>
      <c r="D833" s="22">
        <v>100</v>
      </c>
      <c r="E833" s="26">
        <v>1.2</v>
      </c>
      <c r="F833" s="26">
        <v>789</v>
      </c>
      <c r="G833" s="27">
        <v>22.2</v>
      </c>
      <c r="H833" s="24">
        <f t="shared" si="85"/>
        <v>5.5810333377557972</v>
      </c>
      <c r="I833" s="25">
        <f t="shared" si="86"/>
        <v>1.0242871850257235E-2</v>
      </c>
      <c r="J833" s="24">
        <f t="shared" si="87"/>
        <v>1.8134110295859075E-2</v>
      </c>
      <c r="K833" s="14">
        <v>0.51</v>
      </c>
      <c r="L833" s="27">
        <v>2.5</v>
      </c>
      <c r="M833" s="27">
        <v>1.86</v>
      </c>
      <c r="N833" s="4">
        <f t="shared" si="75"/>
        <v>1.3440860215053763</v>
      </c>
      <c r="O833" s="20">
        <f t="shared" si="76"/>
        <v>10</v>
      </c>
      <c r="P833">
        <f t="shared" si="84"/>
        <v>1204.9693297297299</v>
      </c>
    </row>
    <row r="834" spans="1:16">
      <c r="A834" s="27" t="s">
        <v>916</v>
      </c>
      <c r="B834" s="40" t="s">
        <v>510</v>
      </c>
      <c r="C834" s="28">
        <v>0.1</v>
      </c>
      <c r="D834" s="22">
        <v>2000</v>
      </c>
      <c r="E834" s="26">
        <v>1.2</v>
      </c>
      <c r="F834" s="26">
        <v>789</v>
      </c>
      <c r="G834" s="27">
        <v>22.2</v>
      </c>
      <c r="H834" s="24">
        <f t="shared" si="85"/>
        <v>279.05166688778991</v>
      </c>
      <c r="I834" s="25">
        <f t="shared" si="86"/>
        <v>64.017949064107739</v>
      </c>
      <c r="J834" s="24">
        <f t="shared" si="87"/>
        <v>2.8672545937812273E-2</v>
      </c>
      <c r="K834" s="14">
        <v>0.24</v>
      </c>
      <c r="L834" s="27">
        <v>1.73</v>
      </c>
      <c r="M834" s="27">
        <v>1.43</v>
      </c>
      <c r="N834" s="4">
        <f t="shared" si="75"/>
        <v>1.2097902097902098</v>
      </c>
      <c r="O834" s="20">
        <f t="shared" si="76"/>
        <v>17.299999999999997</v>
      </c>
      <c r="P834">
        <f t="shared" si="84"/>
        <v>712.23314324324326</v>
      </c>
    </row>
    <row r="835" spans="1:16">
      <c r="A835" s="27" t="s">
        <v>917</v>
      </c>
      <c r="B835" s="40" t="s">
        <v>510</v>
      </c>
      <c r="C835" s="28">
        <v>0.1</v>
      </c>
      <c r="D835" s="22">
        <v>1750</v>
      </c>
      <c r="E835" s="26">
        <v>1.2</v>
      </c>
      <c r="F835" s="26">
        <v>789</v>
      </c>
      <c r="G835" s="27">
        <v>22.2</v>
      </c>
      <c r="H835" s="24">
        <f t="shared" si="85"/>
        <v>244.17020852681614</v>
      </c>
      <c r="I835" s="25">
        <f t="shared" si="86"/>
        <v>49.013742252207479</v>
      </c>
      <c r="J835" s="24">
        <f t="shared" si="87"/>
        <v>2.8672545937812276E-2</v>
      </c>
      <c r="K835" s="14">
        <v>0.24</v>
      </c>
      <c r="L835" s="27">
        <v>1.72</v>
      </c>
      <c r="M835" s="27">
        <v>1.44</v>
      </c>
      <c r="N835" s="4">
        <f t="shared" si="75"/>
        <v>1.1944444444444444</v>
      </c>
      <c r="O835" s="20">
        <f t="shared" si="76"/>
        <v>17.2</v>
      </c>
      <c r="P835">
        <f t="shared" si="84"/>
        <v>722.22927567567569</v>
      </c>
    </row>
    <row r="836" spans="1:16">
      <c r="A836" s="27" t="s">
        <v>918</v>
      </c>
      <c r="B836" s="40" t="s">
        <v>510</v>
      </c>
      <c r="C836" s="28">
        <v>0.1</v>
      </c>
      <c r="D836" s="22">
        <v>1500</v>
      </c>
      <c r="E836" s="26">
        <v>1.2</v>
      </c>
      <c r="F836" s="26">
        <v>789</v>
      </c>
      <c r="G836" s="27">
        <v>22.2</v>
      </c>
      <c r="H836" s="24">
        <f t="shared" si="85"/>
        <v>209.2887501658424</v>
      </c>
      <c r="I836" s="25">
        <f t="shared" si="86"/>
        <v>36.010096348560594</v>
      </c>
      <c r="J836" s="24">
        <f t="shared" si="87"/>
        <v>2.8672545937812273E-2</v>
      </c>
      <c r="K836" s="14">
        <v>0.24</v>
      </c>
      <c r="L836" s="27">
        <v>1.8</v>
      </c>
      <c r="M836" s="27">
        <v>1.51</v>
      </c>
      <c r="N836" s="4">
        <f t="shared" si="75"/>
        <v>1.1920529801324504</v>
      </c>
      <c r="O836" s="20">
        <f t="shared" si="76"/>
        <v>18</v>
      </c>
      <c r="P836">
        <f t="shared" ref="P836:P842" si="88">F836*M836*M836*9.8/G836</f>
        <v>794.15266756756762</v>
      </c>
    </row>
    <row r="837" spans="1:16">
      <c r="A837" s="27" t="s">
        <v>919</v>
      </c>
      <c r="B837" s="40" t="s">
        <v>510</v>
      </c>
      <c r="C837" s="28">
        <v>0.1</v>
      </c>
      <c r="D837" s="22">
        <v>1250</v>
      </c>
      <c r="E837" s="26">
        <v>1.2</v>
      </c>
      <c r="F837" s="26">
        <v>789</v>
      </c>
      <c r="G837" s="27">
        <v>22.2</v>
      </c>
      <c r="H837" s="24">
        <f t="shared" si="85"/>
        <v>174.40729180486866</v>
      </c>
      <c r="I837" s="25">
        <f t="shared" si="86"/>
        <v>25.007011353167076</v>
      </c>
      <c r="J837" s="24">
        <f t="shared" si="87"/>
        <v>2.8672545937812273E-2</v>
      </c>
      <c r="K837" s="14">
        <v>0.24</v>
      </c>
      <c r="L837" s="27">
        <v>1.76</v>
      </c>
      <c r="M837" s="27">
        <v>1.48</v>
      </c>
      <c r="N837" s="4">
        <f t="shared" si="75"/>
        <v>1.1891891891891893</v>
      </c>
      <c r="O837" s="20">
        <f t="shared" si="76"/>
        <v>17.599999999999998</v>
      </c>
      <c r="P837">
        <f t="shared" si="88"/>
        <v>762.91039999999998</v>
      </c>
    </row>
    <row r="838" spans="1:16">
      <c r="A838" s="27" t="s">
        <v>920</v>
      </c>
      <c r="B838" s="40" t="s">
        <v>510</v>
      </c>
      <c r="C838" s="28">
        <v>0.1</v>
      </c>
      <c r="D838" s="22">
        <v>1000</v>
      </c>
      <c r="E838" s="26">
        <v>1.2</v>
      </c>
      <c r="F838" s="26">
        <v>789</v>
      </c>
      <c r="G838" s="27">
        <v>22.2</v>
      </c>
      <c r="H838" s="24">
        <f t="shared" si="85"/>
        <v>139.52583344389495</v>
      </c>
      <c r="I838" s="25">
        <f t="shared" si="86"/>
        <v>16.004487266026935</v>
      </c>
      <c r="J838" s="24">
        <f t="shared" si="87"/>
        <v>2.8672545937812273E-2</v>
      </c>
      <c r="K838" s="14">
        <v>0.24</v>
      </c>
      <c r="L838" s="27">
        <v>1.72</v>
      </c>
      <c r="M838" s="27">
        <v>1.45</v>
      </c>
      <c r="N838" s="4">
        <f t="shared" si="75"/>
        <v>1.1862068965517241</v>
      </c>
      <c r="O838" s="20">
        <f t="shared" si="76"/>
        <v>17.2</v>
      </c>
      <c r="P838">
        <f t="shared" si="88"/>
        <v>732.29506756756768</v>
      </c>
    </row>
    <row r="839" spans="1:16">
      <c r="A839" s="27" t="s">
        <v>921</v>
      </c>
      <c r="B839" s="40" t="s">
        <v>510</v>
      </c>
      <c r="C839" s="28">
        <v>0.1</v>
      </c>
      <c r="D839" s="22">
        <v>750</v>
      </c>
      <c r="E839" s="26">
        <v>1.2</v>
      </c>
      <c r="F839" s="26">
        <v>789</v>
      </c>
      <c r="G839" s="27">
        <v>22.2</v>
      </c>
      <c r="H839" s="24">
        <f t="shared" si="85"/>
        <v>104.6443750829212</v>
      </c>
      <c r="I839" s="25">
        <f t="shared" si="86"/>
        <v>9.0025240871401486</v>
      </c>
      <c r="J839" s="24">
        <f t="shared" si="87"/>
        <v>2.8672545937812273E-2</v>
      </c>
      <c r="K839" s="14">
        <v>0.24</v>
      </c>
      <c r="L839" s="27">
        <v>1.71</v>
      </c>
      <c r="M839" s="27">
        <v>1.44</v>
      </c>
      <c r="N839" s="4">
        <f t="shared" si="75"/>
        <v>1.1875</v>
      </c>
      <c r="O839" s="20">
        <f t="shared" si="76"/>
        <v>17.099999999999998</v>
      </c>
      <c r="P839">
        <f t="shared" si="88"/>
        <v>722.22927567567569</v>
      </c>
    </row>
    <row r="840" spans="1:16">
      <c r="A840" s="27" t="s">
        <v>922</v>
      </c>
      <c r="B840" s="40" t="s">
        <v>510</v>
      </c>
      <c r="C840" s="28">
        <v>0.1</v>
      </c>
      <c r="D840" s="22">
        <v>500</v>
      </c>
      <c r="E840" s="26">
        <v>1.2</v>
      </c>
      <c r="F840" s="26">
        <v>789</v>
      </c>
      <c r="G840" s="27">
        <v>22.2</v>
      </c>
      <c r="H840" s="24">
        <f t="shared" si="85"/>
        <v>69.762916721947477</v>
      </c>
      <c r="I840" s="25">
        <f t="shared" si="86"/>
        <v>4.0011218165067337</v>
      </c>
      <c r="J840" s="24">
        <f t="shared" si="87"/>
        <v>2.8672545937812273E-2</v>
      </c>
      <c r="K840" s="14">
        <v>0.24</v>
      </c>
      <c r="L840" s="27">
        <v>1.71</v>
      </c>
      <c r="M840" s="27">
        <v>1.44</v>
      </c>
      <c r="N840" s="4">
        <f t="shared" si="75"/>
        <v>1.1875</v>
      </c>
      <c r="O840" s="20">
        <f t="shared" si="76"/>
        <v>17.099999999999998</v>
      </c>
      <c r="P840">
        <f t="shared" si="88"/>
        <v>722.22927567567569</v>
      </c>
    </row>
    <row r="841" spans="1:16">
      <c r="A841" s="27" t="s">
        <v>923</v>
      </c>
      <c r="B841" s="40" t="s">
        <v>510</v>
      </c>
      <c r="C841" s="28">
        <v>0.1</v>
      </c>
      <c r="D841" s="22">
        <v>250</v>
      </c>
      <c r="E841" s="26">
        <v>1.2</v>
      </c>
      <c r="F841" s="26">
        <v>789</v>
      </c>
      <c r="G841" s="27">
        <v>22.2</v>
      </c>
      <c r="H841" s="24">
        <f t="shared" si="85"/>
        <v>34.881458360973738</v>
      </c>
      <c r="I841" s="25">
        <f t="shared" si="86"/>
        <v>1.0002804541266834</v>
      </c>
      <c r="J841" s="24">
        <f t="shared" si="87"/>
        <v>2.8672545937812273E-2</v>
      </c>
      <c r="K841" s="14">
        <v>0.24</v>
      </c>
      <c r="L841" s="27">
        <v>1.71</v>
      </c>
      <c r="M841" s="27">
        <v>1.44</v>
      </c>
      <c r="N841" s="4">
        <f t="shared" si="75"/>
        <v>1.1875</v>
      </c>
      <c r="O841" s="20">
        <f t="shared" si="76"/>
        <v>17.099999999999998</v>
      </c>
      <c r="P841">
        <f t="shared" si="88"/>
        <v>722.22927567567569</v>
      </c>
    </row>
    <row r="842" spans="1:16">
      <c r="A842" s="27" t="s">
        <v>924</v>
      </c>
      <c r="B842" s="40" t="s">
        <v>510</v>
      </c>
      <c r="C842" s="28">
        <v>0.1</v>
      </c>
      <c r="D842" s="22">
        <v>100</v>
      </c>
      <c r="E842" s="26">
        <v>1.2</v>
      </c>
      <c r="F842" s="26">
        <v>789</v>
      </c>
      <c r="G842" s="27">
        <v>22.2</v>
      </c>
      <c r="H842" s="24">
        <f t="shared" si="85"/>
        <v>13.952583344389494</v>
      </c>
      <c r="I842" s="25">
        <f t="shared" si="86"/>
        <v>0.16004487266026932</v>
      </c>
      <c r="J842" s="24">
        <f t="shared" si="87"/>
        <v>2.8672545937812276E-2</v>
      </c>
      <c r="K842" s="14">
        <v>0.24</v>
      </c>
      <c r="L842" s="27">
        <v>1.7</v>
      </c>
      <c r="M842" s="27">
        <v>1.43</v>
      </c>
      <c r="N842" s="4">
        <f t="shared" si="75"/>
        <v>1.1888111888111887</v>
      </c>
      <c r="O842" s="20">
        <f t="shared" si="76"/>
        <v>17</v>
      </c>
      <c r="P842">
        <f t="shared" si="88"/>
        <v>712.23314324324326</v>
      </c>
    </row>
  </sheetData>
  <dataConsolidate/>
  <mergeCells count="1">
    <mergeCell ref="A1:XFD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D3A5-004D-4442-8494-A7BB626666AB}">
  <dimension ref="A1:AD36"/>
  <sheetViews>
    <sheetView zoomScale="110" zoomScaleNormal="110" workbookViewId="0">
      <selection activeCell="C17" sqref="C17"/>
    </sheetView>
  </sheetViews>
  <sheetFormatPr baseColWidth="10" defaultColWidth="8.83203125" defaultRowHeight="15"/>
  <cols>
    <col min="1" max="1" width="17.33203125" style="6" customWidth="1"/>
    <col min="2" max="2" width="14.5" style="6" customWidth="1"/>
    <col min="3" max="3" width="13" style="6" customWidth="1"/>
    <col min="4" max="4" width="13.5" style="6" customWidth="1"/>
    <col min="5" max="5" width="14.33203125" style="6" customWidth="1"/>
    <col min="6" max="6" width="19.1640625" style="6" customWidth="1"/>
    <col min="7" max="7" width="14" style="6" customWidth="1"/>
    <col min="8" max="11" width="8.83203125" style="6"/>
    <col min="12" max="12" width="16.5" style="6" customWidth="1"/>
    <col min="13" max="16384" width="8.83203125" style="6"/>
  </cols>
  <sheetData>
    <row r="1" spans="1:30" ht="46">
      <c r="A1" s="7" t="s">
        <v>547</v>
      </c>
      <c r="B1" s="13"/>
      <c r="C1" s="13"/>
      <c r="D1" s="13"/>
      <c r="E1" s="13"/>
      <c r="F1" s="13"/>
      <c r="I1" s="7" t="s">
        <v>547</v>
      </c>
      <c r="J1" s="6" t="s">
        <v>546</v>
      </c>
      <c r="AC1" s="6" t="s">
        <v>542</v>
      </c>
      <c r="AD1" s="6" t="s">
        <v>540</v>
      </c>
    </row>
    <row r="2" spans="1:30" ht="16">
      <c r="A2" s="8"/>
      <c r="B2" s="8" t="s">
        <v>545</v>
      </c>
      <c r="C2" s="12" t="s">
        <v>544</v>
      </c>
      <c r="D2" s="8" t="s">
        <v>545</v>
      </c>
      <c r="E2" s="12" t="s">
        <v>544</v>
      </c>
      <c r="F2" s="8" t="s">
        <v>545</v>
      </c>
      <c r="G2" s="12" t="s">
        <v>544</v>
      </c>
    </row>
    <row r="3" spans="1:30" ht="16">
      <c r="A3" s="8" t="s">
        <v>543</v>
      </c>
      <c r="B3" s="8" t="s">
        <v>542</v>
      </c>
      <c r="C3" s="8" t="s">
        <v>542</v>
      </c>
      <c r="D3" s="8" t="s">
        <v>541</v>
      </c>
      <c r="E3" s="8" t="s">
        <v>541</v>
      </c>
      <c r="F3" s="8" t="s">
        <v>540</v>
      </c>
      <c r="G3" s="8" t="s">
        <v>540</v>
      </c>
      <c r="I3" s="8" t="s">
        <v>543</v>
      </c>
      <c r="J3" s="8" t="s">
        <v>542</v>
      </c>
      <c r="K3" s="8" t="s">
        <v>541</v>
      </c>
      <c r="L3" s="8" t="s">
        <v>540</v>
      </c>
    </row>
    <row r="4" spans="1:30" ht="30" customHeight="1">
      <c r="A4" s="11" t="s">
        <v>539</v>
      </c>
      <c r="B4" s="10" t="s">
        <v>538</v>
      </c>
      <c r="C4" s="10" t="s">
        <v>538</v>
      </c>
      <c r="D4" s="10" t="s">
        <v>537</v>
      </c>
      <c r="E4" s="10" t="s">
        <v>537</v>
      </c>
      <c r="F4" s="10" t="s">
        <v>536</v>
      </c>
      <c r="G4" s="10" t="s">
        <v>536</v>
      </c>
      <c r="I4" s="11" t="s">
        <v>539</v>
      </c>
      <c r="J4" s="10" t="s">
        <v>538</v>
      </c>
      <c r="K4" s="10" t="s">
        <v>537</v>
      </c>
      <c r="L4" s="10" t="s">
        <v>536</v>
      </c>
    </row>
    <row r="5" spans="1:30" ht="16">
      <c r="A5" s="8">
        <v>0</v>
      </c>
      <c r="B5" s="8">
        <v>996.13</v>
      </c>
      <c r="C5" s="8">
        <v>1000</v>
      </c>
      <c r="D5" s="8">
        <v>1.01E-3</v>
      </c>
      <c r="E5" s="8">
        <v>1E-3</v>
      </c>
      <c r="F5" s="8">
        <v>7.1800000000000003E-2</v>
      </c>
      <c r="G5" s="8">
        <v>7.1999999999999995E-2</v>
      </c>
      <c r="I5" s="8">
        <v>0</v>
      </c>
      <c r="J5" s="8">
        <v>1000</v>
      </c>
      <c r="K5" s="8">
        <v>1E-3</v>
      </c>
      <c r="L5" s="8">
        <v>7.1999999999999995E-2</v>
      </c>
    </row>
    <row r="6" spans="1:30" ht="16">
      <c r="A6" s="8">
        <v>5</v>
      </c>
      <c r="B6" s="8">
        <v>1009.4204999999999</v>
      </c>
      <c r="C6" s="8"/>
      <c r="D6" s="8"/>
      <c r="E6" s="8"/>
      <c r="F6" s="8">
        <v>7.1349999999999997E-2</v>
      </c>
      <c r="G6" s="9"/>
      <c r="I6" s="8">
        <v>0</v>
      </c>
      <c r="J6" s="8">
        <v>996.13</v>
      </c>
      <c r="K6" s="8">
        <v>1.01E-3</v>
      </c>
      <c r="L6" s="8">
        <v>7.1800000000000003E-2</v>
      </c>
    </row>
    <row r="7" spans="1:30" ht="16">
      <c r="A7" s="8">
        <v>10</v>
      </c>
      <c r="B7" s="8">
        <v>1022.711</v>
      </c>
      <c r="C7" s="8">
        <v>1005</v>
      </c>
      <c r="D7" s="8">
        <v>1.2700000000000001E-3</v>
      </c>
      <c r="E7" s="8">
        <v>1.5E-3</v>
      </c>
      <c r="F7" s="8">
        <v>7.0900000000000005E-2</v>
      </c>
      <c r="G7" s="8">
        <v>7.1999999999999995E-2</v>
      </c>
      <c r="I7" s="8">
        <v>10</v>
      </c>
      <c r="J7" s="8">
        <v>1022.711</v>
      </c>
      <c r="K7" s="8">
        <v>1.2700000000000001E-3</v>
      </c>
      <c r="L7" s="8">
        <v>7.0900000000000005E-2</v>
      </c>
    </row>
    <row r="8" spans="1:30" ht="16">
      <c r="A8" s="8">
        <v>15</v>
      </c>
      <c r="B8" s="8">
        <v>1036.0015000000001</v>
      </c>
      <c r="C8" s="8"/>
      <c r="D8" s="8"/>
      <c r="E8" s="8"/>
      <c r="F8" s="8">
        <v>7.0449999999999999E-2</v>
      </c>
      <c r="G8" s="9"/>
      <c r="I8" s="8">
        <v>10</v>
      </c>
      <c r="J8" s="8">
        <v>1005</v>
      </c>
      <c r="K8" s="8">
        <v>1.5E-3</v>
      </c>
      <c r="L8" s="8">
        <v>7.1999999999999995E-2</v>
      </c>
    </row>
    <row r="9" spans="1:30" ht="16">
      <c r="A9" s="8">
        <v>20</v>
      </c>
      <c r="B9" s="8">
        <v>1049.2919999999999</v>
      </c>
      <c r="C9" s="8"/>
      <c r="D9" s="8">
        <v>1.6800000000000001E-3</v>
      </c>
      <c r="E9" s="8"/>
      <c r="F9" s="8">
        <v>7.0000000000000007E-2</v>
      </c>
      <c r="G9" s="9"/>
      <c r="I9" s="8">
        <v>20</v>
      </c>
      <c r="J9" s="8">
        <v>1049.2919999999999</v>
      </c>
      <c r="K9" s="8">
        <v>1.6800000000000001E-3</v>
      </c>
      <c r="L9" s="8">
        <v>7.0000000000000007E-2</v>
      </c>
    </row>
    <row r="10" spans="1:30" ht="16">
      <c r="A10" s="8">
        <v>25</v>
      </c>
      <c r="B10" s="8">
        <v>1062.5825</v>
      </c>
      <c r="C10" s="8"/>
      <c r="D10" s="8"/>
      <c r="E10" s="8"/>
      <c r="F10" s="8">
        <v>6.9550000000000001E-2</v>
      </c>
      <c r="G10" s="9"/>
      <c r="I10" s="8">
        <v>30</v>
      </c>
      <c r="J10" s="8">
        <v>1075.873</v>
      </c>
      <c r="K10" s="8">
        <v>2.32E-3</v>
      </c>
      <c r="L10" s="8">
        <v>6.9100000000000009E-2</v>
      </c>
    </row>
    <row r="11" spans="1:30" ht="16">
      <c r="A11" s="8">
        <v>30</v>
      </c>
      <c r="B11" s="8">
        <v>1075.873</v>
      </c>
      <c r="C11" s="8">
        <v>1033</v>
      </c>
      <c r="D11" s="8">
        <v>2.32E-3</v>
      </c>
      <c r="E11" s="8">
        <v>2.8E-3</v>
      </c>
      <c r="F11" s="8">
        <v>6.9100000000000009E-2</v>
      </c>
      <c r="G11" s="8">
        <v>6.9199999999999998E-2</v>
      </c>
      <c r="I11" s="8">
        <v>30</v>
      </c>
      <c r="J11" s="8">
        <v>1033</v>
      </c>
      <c r="K11" s="8">
        <v>2.8E-3</v>
      </c>
      <c r="L11" s="8">
        <v>6.9199999999999998E-2</v>
      </c>
    </row>
    <row r="12" spans="1:30" ht="16">
      <c r="A12" s="8">
        <v>35</v>
      </c>
      <c r="B12" s="8">
        <v>1089.1635000000001</v>
      </c>
      <c r="C12" s="8"/>
      <c r="D12" s="8"/>
      <c r="E12" s="8"/>
      <c r="F12" s="8">
        <v>6.8650000000000003E-2</v>
      </c>
      <c r="G12" s="9"/>
      <c r="I12" s="8">
        <v>40</v>
      </c>
      <c r="J12" s="8">
        <v>1102.454</v>
      </c>
      <c r="K12" s="8">
        <v>3.3400000000000001E-3</v>
      </c>
      <c r="L12" s="8">
        <v>6.8199999999999997E-2</v>
      </c>
    </row>
    <row r="13" spans="1:30" ht="16">
      <c r="A13" s="8">
        <v>40</v>
      </c>
      <c r="B13" s="8">
        <v>1102.454</v>
      </c>
      <c r="C13" s="8"/>
      <c r="D13" s="8">
        <v>3.3400000000000001E-3</v>
      </c>
      <c r="E13" s="8"/>
      <c r="F13" s="8">
        <v>6.8199999999999997E-2</v>
      </c>
      <c r="G13" s="9"/>
      <c r="I13" s="8">
        <v>50</v>
      </c>
      <c r="J13" s="8">
        <v>1129.0350000000001</v>
      </c>
      <c r="K13" s="8">
        <v>5.2599999999999999E-3</v>
      </c>
      <c r="L13" s="8">
        <v>6.7299999999999999E-2</v>
      </c>
    </row>
    <row r="14" spans="1:30" ht="16">
      <c r="A14" s="8">
        <v>45</v>
      </c>
      <c r="B14" s="8">
        <v>1115.7445</v>
      </c>
      <c r="C14" s="8"/>
      <c r="D14" s="8"/>
      <c r="E14" s="8"/>
      <c r="F14" s="8">
        <v>6.7750000000000005E-2</v>
      </c>
      <c r="G14" s="9"/>
      <c r="I14" s="8">
        <v>50</v>
      </c>
      <c r="J14" s="8">
        <v>1082</v>
      </c>
      <c r="K14" s="8">
        <v>6.7999999999999996E-3</v>
      </c>
      <c r="L14" s="8">
        <v>6.7400000000000002E-2</v>
      </c>
    </row>
    <row r="15" spans="1:30" ht="16">
      <c r="A15" s="8">
        <v>50</v>
      </c>
      <c r="B15" s="8">
        <v>1129.0350000000001</v>
      </c>
      <c r="C15" s="8">
        <v>1082</v>
      </c>
      <c r="D15" s="8">
        <v>5.2599999999999999E-3</v>
      </c>
      <c r="E15" s="8">
        <v>6.7999999999999996E-3</v>
      </c>
      <c r="F15" s="8">
        <v>6.7299999999999999E-2</v>
      </c>
      <c r="G15" s="8">
        <v>6.7400000000000002E-2</v>
      </c>
      <c r="I15" s="8">
        <v>60</v>
      </c>
      <c r="J15" s="8">
        <v>1155.616</v>
      </c>
      <c r="K15" s="8">
        <v>9.1699999999999993E-3</v>
      </c>
      <c r="L15" s="8">
        <v>6.6400000000000001E-2</v>
      </c>
    </row>
    <row r="16" spans="1:30" ht="16">
      <c r="A16" s="8">
        <v>55</v>
      </c>
      <c r="B16" s="8">
        <v>1142.3254999999999</v>
      </c>
      <c r="C16" s="8"/>
      <c r="D16" s="8"/>
      <c r="E16" s="8"/>
      <c r="F16" s="8">
        <v>6.6850000000000007E-2</v>
      </c>
      <c r="G16" s="9"/>
      <c r="I16" s="8">
        <v>70</v>
      </c>
      <c r="J16" s="8">
        <v>1182.1970000000001</v>
      </c>
      <c r="K16" s="8">
        <v>1.8599999999999998E-2</v>
      </c>
      <c r="L16" s="8">
        <v>6.5500000000000003E-2</v>
      </c>
    </row>
    <row r="17" spans="1:30" ht="16">
      <c r="A17" s="8">
        <v>60</v>
      </c>
      <c r="B17" s="8">
        <v>1155.616</v>
      </c>
      <c r="C17" s="8"/>
      <c r="D17" s="8">
        <v>9.1699999999999993E-3</v>
      </c>
      <c r="E17" s="8">
        <v>1.2076999999999999E-2</v>
      </c>
      <c r="F17" s="8">
        <v>6.6400000000000001E-2</v>
      </c>
      <c r="G17" s="9"/>
      <c r="I17" s="8">
        <v>70</v>
      </c>
      <c r="J17" s="8">
        <v>1156</v>
      </c>
      <c r="K17" s="8">
        <v>3.2899999999999999E-2</v>
      </c>
      <c r="L17" s="8">
        <v>6.5799999999999997E-2</v>
      </c>
    </row>
    <row r="18" spans="1:30" ht="16">
      <c r="A18" s="8">
        <v>65</v>
      </c>
      <c r="B18" s="8">
        <v>1168.9065000000001</v>
      </c>
      <c r="C18" s="8"/>
      <c r="D18" s="8"/>
      <c r="E18" s="8"/>
      <c r="F18" s="8">
        <v>6.5950000000000009E-2</v>
      </c>
      <c r="G18" s="9"/>
      <c r="I18" s="8">
        <v>80</v>
      </c>
      <c r="J18" s="8">
        <v>1208.778</v>
      </c>
      <c r="K18" s="8">
        <v>4.6300000000000001E-2</v>
      </c>
      <c r="L18" s="8">
        <v>6.4600000000000005E-2</v>
      </c>
    </row>
    <row r="19" spans="1:30" ht="16">
      <c r="A19" s="8">
        <v>70</v>
      </c>
      <c r="B19" s="8">
        <v>1182.1970000000001</v>
      </c>
      <c r="C19" s="8">
        <v>1156</v>
      </c>
      <c r="D19" s="8">
        <v>1.8599999999999998E-2</v>
      </c>
      <c r="E19" s="8">
        <v>3.2899999999999999E-2</v>
      </c>
      <c r="F19" s="8">
        <v>6.5500000000000003E-2</v>
      </c>
      <c r="G19" s="8">
        <v>6.5799999999999997E-2</v>
      </c>
      <c r="I19" s="8">
        <v>90</v>
      </c>
      <c r="J19" s="8">
        <v>1235.3589999999999</v>
      </c>
      <c r="K19" s="8">
        <v>0.186</v>
      </c>
      <c r="L19" s="8">
        <v>6.3700000000000007E-2</v>
      </c>
    </row>
    <row r="20" spans="1:30" ht="16">
      <c r="A20" s="8">
        <v>75</v>
      </c>
      <c r="B20" s="8">
        <v>1195.4875</v>
      </c>
      <c r="C20" s="8"/>
      <c r="D20" s="8"/>
      <c r="E20" s="8"/>
      <c r="F20" s="8">
        <v>6.5049999999999997E-2</v>
      </c>
      <c r="G20" s="9"/>
      <c r="I20" s="8">
        <v>95</v>
      </c>
      <c r="J20" s="8">
        <v>1248.6495</v>
      </c>
      <c r="K20" s="8">
        <v>0.42699999999999999</v>
      </c>
      <c r="L20" s="8">
        <v>6.3250000000000001E-2</v>
      </c>
    </row>
    <row r="21" spans="1:30" ht="16">
      <c r="A21" s="8">
        <v>80</v>
      </c>
      <c r="B21" s="8">
        <v>1208.778</v>
      </c>
      <c r="C21" s="8">
        <v>1187</v>
      </c>
      <c r="D21" s="8">
        <v>4.6300000000000001E-2</v>
      </c>
      <c r="E21" s="8">
        <v>5.6500000000000002E-2</v>
      </c>
      <c r="F21" s="8">
        <v>6.4600000000000005E-2</v>
      </c>
      <c r="G21" s="9"/>
      <c r="I21" s="8">
        <v>100</v>
      </c>
      <c r="J21" s="8">
        <v>1261.94</v>
      </c>
      <c r="K21" s="8">
        <v>1.35</v>
      </c>
      <c r="L21" s="8">
        <v>6.2800000000000009E-2</v>
      </c>
    </row>
    <row r="22" spans="1:30" ht="16">
      <c r="A22" s="8">
        <v>83</v>
      </c>
      <c r="B22" s="8">
        <v>1216.7523000000001</v>
      </c>
      <c r="C22" s="8"/>
      <c r="D22" s="8"/>
      <c r="E22" s="8"/>
      <c r="F22" s="8">
        <v>6.4329999999999998E-2</v>
      </c>
      <c r="G22" s="9"/>
      <c r="I22" s="8">
        <v>100</v>
      </c>
      <c r="J22" s="8">
        <v>1248</v>
      </c>
      <c r="K22" s="8">
        <v>1.35</v>
      </c>
      <c r="L22" s="8">
        <v>6.2799999999999995E-2</v>
      </c>
    </row>
    <row r="23" spans="1:30" ht="16">
      <c r="A23" s="8">
        <v>84.5</v>
      </c>
      <c r="B23" s="8">
        <v>1220.73945</v>
      </c>
      <c r="C23" s="8"/>
      <c r="D23" s="8"/>
      <c r="E23" s="8"/>
      <c r="F23" s="8">
        <v>6.4195000000000002E-2</v>
      </c>
      <c r="G23" s="9"/>
      <c r="I23" s="8">
        <v>5</v>
      </c>
      <c r="J23" s="8">
        <v>1009.4204999999999</v>
      </c>
      <c r="K23" s="8"/>
      <c r="L23" s="8">
        <v>7.1349999999999997E-2</v>
      </c>
      <c r="AC23" s="6">
        <v>1206</v>
      </c>
      <c r="AD23" s="6">
        <f>-0.00003*AC23 + 0.1054</f>
        <v>6.921999999999999E-2</v>
      </c>
    </row>
    <row r="24" spans="1:30" ht="16">
      <c r="A24" s="8">
        <v>90</v>
      </c>
      <c r="B24" s="8">
        <v>1235.3589999999999</v>
      </c>
      <c r="C24" s="8">
        <v>1206</v>
      </c>
      <c r="D24" s="8">
        <v>0.186</v>
      </c>
      <c r="E24" s="8">
        <v>0.22509999999999999</v>
      </c>
      <c r="F24" s="8">
        <v>6.3700000000000007E-2</v>
      </c>
      <c r="G24" s="9"/>
      <c r="I24" s="8">
        <v>15</v>
      </c>
      <c r="J24" s="8">
        <v>1036.0015000000001</v>
      </c>
      <c r="K24" s="8"/>
      <c r="L24" s="8">
        <v>7.0449999999999999E-2</v>
      </c>
      <c r="AC24" s="6">
        <v>1230</v>
      </c>
      <c r="AD24" s="6">
        <f>-0.00003*AC24 + 0.1054</f>
        <v>6.8499999999999991E-2</v>
      </c>
    </row>
    <row r="25" spans="1:30" ht="16">
      <c r="A25" s="8">
        <v>95</v>
      </c>
      <c r="B25" s="8">
        <v>1248.6495</v>
      </c>
      <c r="C25" s="8">
        <v>1230</v>
      </c>
      <c r="D25" s="8">
        <v>0.42699999999999999</v>
      </c>
      <c r="E25" s="8">
        <v>0.50529999999999997</v>
      </c>
      <c r="F25" s="8">
        <v>6.3250000000000001E-2</v>
      </c>
      <c r="G25" s="9"/>
      <c r="I25" s="8">
        <v>25</v>
      </c>
      <c r="J25" s="8">
        <v>1062.5825</v>
      </c>
      <c r="K25" s="8"/>
      <c r="L25" s="8">
        <v>6.9550000000000001E-2</v>
      </c>
      <c r="AC25" s="6">
        <v>1248</v>
      </c>
      <c r="AD25" s="6">
        <f>-0.00003*AC25 + 0.1054</f>
        <v>6.7959999999999993E-2</v>
      </c>
    </row>
    <row r="26" spans="1:30" ht="16">
      <c r="A26" s="8">
        <v>100</v>
      </c>
      <c r="B26" s="8">
        <v>1261.94</v>
      </c>
      <c r="C26" s="8">
        <v>1248</v>
      </c>
      <c r="D26" s="8">
        <v>1.35</v>
      </c>
      <c r="E26" s="8">
        <v>1.35</v>
      </c>
      <c r="F26" s="8">
        <v>6.2800000000000009E-2</v>
      </c>
      <c r="G26" s="8">
        <v>6.2799999999999995E-2</v>
      </c>
      <c r="I26" s="8">
        <v>35</v>
      </c>
      <c r="J26" s="8">
        <v>1089.1635000000001</v>
      </c>
      <c r="K26" s="8"/>
      <c r="L26" s="8">
        <v>6.8650000000000003E-2</v>
      </c>
      <c r="AD26" s="6">
        <f>-0.00003*AC26 + 0.1054</f>
        <v>0.10539999999999999</v>
      </c>
    </row>
    <row r="27" spans="1:30" ht="16">
      <c r="A27" s="8"/>
      <c r="B27" s="8"/>
      <c r="C27" s="8"/>
      <c r="D27" s="8"/>
      <c r="E27" s="8"/>
      <c r="F27" s="8"/>
      <c r="G27" s="8"/>
      <c r="I27" s="8">
        <v>45</v>
      </c>
      <c r="J27" s="8">
        <v>1115.7445</v>
      </c>
      <c r="K27" s="8"/>
      <c r="L27" s="8">
        <v>6.7750000000000005E-2</v>
      </c>
    </row>
    <row r="28" spans="1:30" ht="16">
      <c r="A28" s="8"/>
      <c r="B28" s="8"/>
      <c r="C28" s="8"/>
      <c r="D28" s="8"/>
      <c r="E28" s="8"/>
      <c r="F28" s="8"/>
      <c r="G28" s="8"/>
      <c r="I28" s="8">
        <v>55</v>
      </c>
      <c r="J28" s="8">
        <v>1142.3254999999999</v>
      </c>
      <c r="K28" s="8"/>
      <c r="L28" s="8">
        <v>6.6850000000000007E-2</v>
      </c>
    </row>
    <row r="29" spans="1:30" ht="16">
      <c r="A29" s="8"/>
      <c r="B29" s="8"/>
      <c r="C29" s="8"/>
      <c r="D29" s="8"/>
      <c r="E29" s="8"/>
      <c r="F29" s="8"/>
      <c r="G29" s="8"/>
      <c r="I29" s="8">
        <v>65</v>
      </c>
      <c r="J29" s="8">
        <v>1168.9065000000001</v>
      </c>
      <c r="K29" s="8"/>
      <c r="L29" s="8">
        <v>6.5950000000000009E-2</v>
      </c>
    </row>
    <row r="30" spans="1:30" ht="16">
      <c r="A30" s="8"/>
      <c r="B30" s="8"/>
      <c r="C30" s="8"/>
      <c r="D30" s="8"/>
      <c r="E30" s="8"/>
      <c r="F30" s="8"/>
      <c r="G30" s="8"/>
      <c r="I30" s="8">
        <v>75</v>
      </c>
      <c r="J30" s="8">
        <v>1195.4875</v>
      </c>
      <c r="K30" s="8"/>
      <c r="L30" s="8">
        <v>6.5049999999999997E-2</v>
      </c>
    </row>
    <row r="31" spans="1:30" ht="16">
      <c r="I31" s="8">
        <v>83</v>
      </c>
      <c r="J31" s="8">
        <v>1216.7523000000001</v>
      </c>
      <c r="K31" s="8"/>
      <c r="L31" s="8">
        <v>6.4329999999999998E-2</v>
      </c>
    </row>
    <row r="32" spans="1:30" ht="16">
      <c r="I32" s="8">
        <v>84.5</v>
      </c>
      <c r="J32" s="8">
        <v>1220.73945</v>
      </c>
      <c r="K32" s="8"/>
      <c r="L32" s="8">
        <v>6.4195000000000002E-2</v>
      </c>
    </row>
    <row r="33" spans="1:6" ht="16">
      <c r="A33" s="7" t="s">
        <v>535</v>
      </c>
    </row>
    <row r="34" spans="1:6">
      <c r="A34" s="6" t="s">
        <v>534</v>
      </c>
      <c r="B34" s="6">
        <v>900</v>
      </c>
      <c r="D34" s="6">
        <v>2E-3</v>
      </c>
      <c r="F34" s="6">
        <v>1.7899999999999999E-2</v>
      </c>
    </row>
    <row r="35" spans="1:6">
      <c r="A35" s="6" t="s">
        <v>533</v>
      </c>
      <c r="B35" s="6">
        <v>916</v>
      </c>
      <c r="D35" s="6">
        <v>4.5999999999999999E-3</v>
      </c>
      <c r="F35" s="6">
        <v>1.9699999999999999E-2</v>
      </c>
    </row>
    <row r="36" spans="1:6">
      <c r="A36" s="6" t="s">
        <v>532</v>
      </c>
      <c r="B36" s="6">
        <v>953</v>
      </c>
      <c r="D36" s="6">
        <v>1.9099999999999999E-2</v>
      </c>
      <c r="F36" s="6">
        <v>2.0799999999999999E-2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5630-EE08-452B-9BD4-C4C37FC330A7}">
  <dimension ref="A1:D4"/>
  <sheetViews>
    <sheetView workbookViewId="0">
      <selection activeCell="C2" sqref="C2"/>
    </sheetView>
  </sheetViews>
  <sheetFormatPr baseColWidth="10" defaultColWidth="8.83203125" defaultRowHeight="15"/>
  <cols>
    <col min="1" max="1" width="28.1640625" customWidth="1"/>
    <col min="2" max="2" width="25.1640625" customWidth="1"/>
    <col min="3" max="3" width="25.33203125" customWidth="1"/>
    <col min="4" max="4" width="18.83203125" customWidth="1"/>
  </cols>
  <sheetData>
    <row r="1" spans="1:4">
      <c r="A1" t="s">
        <v>669</v>
      </c>
      <c r="B1" t="s">
        <v>670</v>
      </c>
      <c r="C1" t="s">
        <v>671</v>
      </c>
      <c r="D1" t="s">
        <v>672</v>
      </c>
    </row>
    <row r="2" spans="1:4">
      <c r="A2" t="s">
        <v>667</v>
      </c>
      <c r="B2" s="30">
        <v>0.97</v>
      </c>
      <c r="C2" s="30">
        <v>996.4</v>
      </c>
      <c r="D2">
        <v>21.2</v>
      </c>
    </row>
    <row r="3" spans="1:4">
      <c r="A3" t="s">
        <v>668</v>
      </c>
      <c r="B3" s="30">
        <v>0.96</v>
      </c>
      <c r="C3" s="30">
        <v>48.6</v>
      </c>
      <c r="D3">
        <v>20.8</v>
      </c>
    </row>
    <row r="4" spans="1:4">
      <c r="A4" t="s">
        <v>673</v>
      </c>
      <c r="B4">
        <v>0.96899999999999997</v>
      </c>
      <c r="C4">
        <v>348</v>
      </c>
      <c r="D4">
        <v>21.1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data</vt:lpstr>
      <vt:lpstr>Properties</vt:lpstr>
      <vt:lpstr>silicone oil property</vt:lpstr>
      <vt:lpstr>Oh-Re space</vt:lpstr>
      <vt:lpstr>Oh-Re Log space</vt:lpstr>
      <vt:lpstr>Oh-Re full space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jingtao wang</dc:creator>
  <cp:lastModifiedBy>Chen, Qiwei</cp:lastModifiedBy>
  <dcterms:created xsi:type="dcterms:W3CDTF">2024-12-11T13:58:46Z</dcterms:created>
  <dcterms:modified xsi:type="dcterms:W3CDTF">2025-11-03T16:12:54Z</dcterms:modified>
</cp:coreProperties>
</file>